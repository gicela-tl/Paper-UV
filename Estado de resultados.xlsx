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90d39358f3815e/Desktop/Apuntes y Tareas/7° Semestre/Proyectos de inversión/"/>
    </mc:Choice>
  </mc:AlternateContent>
  <xr:revisionPtr revIDLastSave="2" documentId="8_{7C4DA0C1-3607-486C-A0AD-C59140EE42AD}" xr6:coauthVersionLast="47" xr6:coauthVersionMax="47" xr10:uidLastSave="{789C3A7A-7A8E-4E9E-B13E-0FDA63D3F3A3}"/>
  <bookViews>
    <workbookView xWindow="-108" yWindow="-108" windowWidth="23256" windowHeight="12456" xr2:uid="{CC743480-3B35-42CB-8815-DBE5B161E0AF}"/>
  </bookViews>
  <sheets>
    <sheet name="Estado de resultaldo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D16" i="1" s="1"/>
  <c r="E16" i="1" s="1"/>
  <c r="F16" i="1" s="1"/>
  <c r="B15" i="1"/>
  <c r="C15" i="1" s="1"/>
  <c r="D15" i="1" s="1"/>
  <c r="E15" i="1" s="1"/>
  <c r="F15" i="1" s="1"/>
  <c r="B14" i="1"/>
  <c r="C14" i="1" s="1"/>
  <c r="D14" i="1" s="1"/>
  <c r="E14" i="1" s="1"/>
  <c r="F14" i="1" s="1"/>
  <c r="B13" i="1"/>
  <c r="C13" i="1" s="1"/>
  <c r="D13" i="1" s="1"/>
  <c r="E13" i="1" s="1"/>
  <c r="F13" i="1" s="1"/>
  <c r="B12" i="1"/>
  <c r="C12" i="1" s="1"/>
  <c r="D12" i="1" s="1"/>
  <c r="E12" i="1" s="1"/>
  <c r="F12" i="1" s="1"/>
  <c r="B11" i="1"/>
  <c r="C11" i="1" s="1"/>
  <c r="D11" i="1" s="1"/>
  <c r="E11" i="1" s="1"/>
  <c r="F11" i="1" s="1"/>
  <c r="B10" i="1"/>
  <c r="C10" i="1" s="1"/>
  <c r="D10" i="1" s="1"/>
  <c r="E10" i="1" s="1"/>
  <c r="F10" i="1" s="1"/>
  <c r="B9" i="1"/>
  <c r="C9" i="1" s="1"/>
  <c r="D9" i="1" s="1"/>
  <c r="E9" i="1" s="1"/>
  <c r="F9" i="1" s="1"/>
  <c r="B5" i="1"/>
  <c r="C5" i="1" l="1"/>
  <c r="C17" i="1"/>
  <c r="F17" i="1"/>
  <c r="E17" i="1"/>
  <c r="D17" i="1"/>
  <c r="B17" i="1"/>
  <c r="B6" i="1" l="1"/>
  <c r="B7" i="1" s="1"/>
  <c r="B18" i="1"/>
  <c r="B20" i="1" s="1"/>
  <c r="B21" i="1" s="1"/>
  <c r="C6" i="1"/>
  <c r="C7" i="1" s="1"/>
  <c r="C18" i="1" s="1"/>
  <c r="C20" i="1" s="1"/>
  <c r="D5" i="1"/>
  <c r="B22" i="1" l="1"/>
  <c r="B23" i="1" s="1"/>
  <c r="D6" i="1"/>
  <c r="D7" i="1" s="1"/>
  <c r="D18" i="1" s="1"/>
  <c r="D20" i="1" s="1"/>
  <c r="C21" i="1"/>
  <c r="C22" i="1"/>
  <c r="E5" i="1"/>
  <c r="E6" i="1"/>
  <c r="C23" i="1" l="1"/>
  <c r="F5" i="1"/>
  <c r="E7" i="1"/>
  <c r="E18" i="1" s="1"/>
  <c r="E20" i="1" s="1"/>
  <c r="D21" i="1"/>
  <c r="D22" i="1"/>
  <c r="D23" i="1" s="1"/>
  <c r="F6" i="1"/>
  <c r="F7" i="1" l="1"/>
  <c r="F18" i="1" s="1"/>
  <c r="F20" i="1" s="1"/>
  <c r="F22" i="1" s="1"/>
  <c r="E21" i="1"/>
  <c r="E22" i="1"/>
  <c r="E23" i="1" s="1"/>
  <c r="F21" i="1" l="1"/>
  <c r="F23" i="1" s="1"/>
</calcChain>
</file>

<file path=xl/sharedStrings.xml><?xml version="1.0" encoding="utf-8"?>
<sst xmlns="http://schemas.openxmlformats.org/spreadsheetml/2006/main" count="27" uniqueCount="27">
  <si>
    <t>Ventas</t>
  </si>
  <si>
    <t>Costo de Ventas</t>
  </si>
  <si>
    <t xml:space="preserve">Utilidad bruta </t>
  </si>
  <si>
    <t xml:space="preserve">Gastos operativos </t>
  </si>
  <si>
    <t>Sueldos</t>
  </si>
  <si>
    <t>Luz</t>
  </si>
  <si>
    <t>Agua</t>
  </si>
  <si>
    <t>Internet</t>
  </si>
  <si>
    <t>Publicidad</t>
  </si>
  <si>
    <t xml:space="preserve">Mantenimiento </t>
  </si>
  <si>
    <t xml:space="preserve">Limpieza </t>
  </si>
  <si>
    <t>Total Gastos Operativos</t>
  </si>
  <si>
    <t>Utilidad Operativa</t>
  </si>
  <si>
    <t>Gastos Financieros</t>
  </si>
  <si>
    <t xml:space="preserve">Utilidad antes de impuestos </t>
  </si>
  <si>
    <t>ISR</t>
  </si>
  <si>
    <t>PTU</t>
  </si>
  <si>
    <t>Utilidad Neta</t>
  </si>
  <si>
    <t>Año 1</t>
  </si>
  <si>
    <t>Depreciación</t>
  </si>
  <si>
    <t>Año 2</t>
  </si>
  <si>
    <t>Año 3</t>
  </si>
  <si>
    <t>Año 4</t>
  </si>
  <si>
    <t>Año 5</t>
  </si>
  <si>
    <t>PAPER UV</t>
  </si>
  <si>
    <t>Estado de resultados</t>
  </si>
  <si>
    <t>Proyección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</si>
</sst>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.000_-;\-&quot;$&quot;* #,##0.000_-;_-&quot;$&quot;* &quot;-&quot;?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bad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44" fontId="0" fillId="0" borderId="1" xfId="0" applyNumberFormat="1" applyBorder="1"/>
    <xf numFmtId="0" fontId="0" fillId="2" borderId="1" xfId="0" applyFill="1" applyBorder="1"/>
    <xf numFmtId="44" fontId="0" fillId="2" borderId="1" xfId="0" applyNumberFormat="1" applyFill="1" applyBorder="1"/>
    <xf numFmtId="44" fontId="0" fillId="0" borderId="1" xfId="1" applyFont="1" applyBorder="1"/>
    <xf numFmtId="0" fontId="0" fillId="0" borderId="0" xfId="0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0" fillId="0" borderId="1" xfId="0" applyNumberFormat="1" applyBorder="1"/>
    <xf numFmtId="0" fontId="4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vmx-my.sharepoint.com/personal/zs22004085_estudiantes_uv_mx/Documents/Estudio%20Financiero.xlsx" TargetMode="External"/><Relationship Id="rId1" Type="http://schemas.openxmlformats.org/officeDocument/2006/relationships/externalLinkPath" Target="https://uvmx-my.sharepoint.com/personal/zs22004085_estudiantes_uv_mx/Documents/Estudio%20Financi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liticas"/>
      <sheetName val="Inversión Inicial"/>
      <sheetName val="Financiamiento"/>
      <sheetName val="Proyección de Ingresos"/>
      <sheetName val="Proyección CP"/>
      <sheetName val="Proyección GOP"/>
      <sheetName val="Gastos Financieros"/>
      <sheetName val="Determinación PV y PEQ"/>
      <sheetName val="Flujo de efectivo"/>
      <sheetName val="Estado de Resultados"/>
      <sheetName val="Balance General"/>
      <sheetName val="Valuación Economica"/>
    </sheetNames>
    <sheetDataSet>
      <sheetData sheetId="0"/>
      <sheetData sheetId="1"/>
      <sheetData sheetId="2"/>
      <sheetData sheetId="3"/>
      <sheetData sheetId="4"/>
      <sheetData sheetId="5">
        <row r="5">
          <cell r="C5">
            <v>47256</v>
          </cell>
        </row>
        <row r="6">
          <cell r="C6">
            <v>2000</v>
          </cell>
        </row>
        <row r="7">
          <cell r="C7">
            <v>500</v>
          </cell>
        </row>
        <row r="8">
          <cell r="C8">
            <v>1200</v>
          </cell>
        </row>
        <row r="9">
          <cell r="C9">
            <v>1500</v>
          </cell>
        </row>
        <row r="10">
          <cell r="C10">
            <v>1500</v>
          </cell>
        </row>
        <row r="11">
          <cell r="C11">
            <v>3860.8333333333326</v>
          </cell>
        </row>
        <row r="12">
          <cell r="C12">
            <v>800</v>
          </cell>
        </row>
      </sheetData>
      <sheetData sheetId="6"/>
      <sheetData sheetId="7"/>
      <sheetData sheetId="8">
        <row r="5">
          <cell r="B5">
            <v>120900</v>
          </cell>
        </row>
      </sheetData>
      <sheetData sheetId="9">
        <row r="7">
          <cell r="D7">
            <v>712705.0285714285</v>
          </cell>
          <cell r="E7">
            <v>783975.53142857144</v>
          </cell>
          <cell r="F7">
            <v>862373.0845714286</v>
          </cell>
          <cell r="G7">
            <v>948610.39302857139</v>
          </cell>
          <cell r="H7">
            <v>1043471.4323314286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852C-1EB0-47FF-850C-AB27FFAA3AC5}">
  <dimension ref="A1:I23"/>
  <sheetViews>
    <sheetView tabSelected="1" workbookViewId="0">
      <selection activeCell="A7" sqref="A7:F23"/>
    </sheetView>
  </sheetViews>
  <sheetFormatPr baseColWidth="10" defaultRowHeight="14.4" x14ac:dyDescent="0.3"/>
  <cols>
    <col min="1" max="1" width="23.44140625" bestFit="1" customWidth="1"/>
    <col min="2" max="6" width="14" bestFit="1" customWidth="1"/>
  </cols>
  <sheetData>
    <row r="1" spans="1:9" ht="15" x14ac:dyDescent="0.3">
      <c r="A1" s="10" t="s">
        <v>24</v>
      </c>
      <c r="B1" s="10"/>
      <c r="C1" s="10"/>
      <c r="D1" s="10"/>
      <c r="E1" s="10"/>
      <c r="F1" s="10"/>
      <c r="G1" s="6"/>
      <c r="H1" s="6"/>
      <c r="I1" s="6"/>
    </row>
    <row r="2" spans="1:9" ht="15" x14ac:dyDescent="0.3">
      <c r="A2" s="10" t="s">
        <v>25</v>
      </c>
      <c r="B2" s="10"/>
      <c r="C2" s="10"/>
      <c r="D2" s="10"/>
      <c r="E2" s="10"/>
      <c r="F2" s="10"/>
      <c r="G2" s="6"/>
      <c r="H2" s="6"/>
      <c r="I2" s="6"/>
    </row>
    <row r="3" spans="1:9" ht="15" x14ac:dyDescent="0.3">
      <c r="A3" s="10" t="s">
        <v>26</v>
      </c>
      <c r="B3" s="10"/>
      <c r="C3" s="10"/>
      <c r="D3" s="10"/>
      <c r="E3" s="10"/>
      <c r="F3" s="10"/>
      <c r="G3" s="6"/>
      <c r="H3" s="6"/>
      <c r="I3" s="6"/>
    </row>
    <row r="4" spans="1:9" x14ac:dyDescent="0.3">
      <c r="B4" s="7" t="s">
        <v>18</v>
      </c>
      <c r="C4" s="8" t="s">
        <v>20</v>
      </c>
      <c r="D4" s="8" t="s">
        <v>21</v>
      </c>
      <c r="E4" s="8" t="s">
        <v>22</v>
      </c>
      <c r="F4" s="8" t="s">
        <v>23</v>
      </c>
    </row>
    <row r="5" spans="1:9" x14ac:dyDescent="0.3">
      <c r="A5" s="1" t="s">
        <v>0</v>
      </c>
      <c r="B5" s="2">
        <f>'[1]Flujo de efectivo'!$B$5*12</f>
        <v>1450800</v>
      </c>
      <c r="C5" s="2">
        <f>B5*1.1</f>
        <v>1595880.0000000002</v>
      </c>
      <c r="D5" s="2">
        <f>C5*1.1</f>
        <v>1755468.0000000005</v>
      </c>
      <c r="E5" s="2">
        <f t="shared" ref="E5:F5" si="0">D5*1.1</f>
        <v>1931014.8000000007</v>
      </c>
      <c r="F5" s="2">
        <f t="shared" si="0"/>
        <v>2124116.2800000012</v>
      </c>
    </row>
    <row r="6" spans="1:9" x14ac:dyDescent="0.3">
      <c r="A6" s="1" t="s">
        <v>1</v>
      </c>
      <c r="B6" s="2">
        <f>'[1]Estado de Resultados'!$D$7</f>
        <v>712705.0285714285</v>
      </c>
      <c r="C6" s="2">
        <f>'[1]Estado de Resultados'!$E$7</f>
        <v>783975.53142857144</v>
      </c>
      <c r="D6" s="2">
        <f>'[1]Estado de Resultados'!$F$7</f>
        <v>862373.0845714286</v>
      </c>
      <c r="E6" s="2">
        <f>'[1]Estado de Resultados'!$G$7</f>
        <v>948610.39302857139</v>
      </c>
      <c r="F6" s="2">
        <f>'[1]Estado de Resultados'!$H$7</f>
        <v>1043471.4323314286</v>
      </c>
    </row>
    <row r="7" spans="1:9" x14ac:dyDescent="0.3">
      <c r="A7" s="3" t="s">
        <v>2</v>
      </c>
      <c r="B7" s="4">
        <f>B5-B6</f>
        <v>738094.9714285715</v>
      </c>
      <c r="C7" s="4">
        <f>C5-C6</f>
        <v>811904.46857142879</v>
      </c>
      <c r="D7" s="4">
        <f t="shared" ref="D7:F7" si="1">D5-D6</f>
        <v>893094.91542857187</v>
      </c>
      <c r="E7" s="4">
        <f t="shared" si="1"/>
        <v>982404.40697142936</v>
      </c>
      <c r="F7" s="4">
        <f t="shared" si="1"/>
        <v>1080644.8476685726</v>
      </c>
    </row>
    <row r="8" spans="1:9" x14ac:dyDescent="0.3">
      <c r="A8" s="1" t="s">
        <v>3</v>
      </c>
      <c r="B8" s="1"/>
      <c r="C8" s="1"/>
      <c r="D8" s="1"/>
      <c r="E8" s="1"/>
      <c r="F8" s="1"/>
    </row>
    <row r="9" spans="1:9" x14ac:dyDescent="0.3">
      <c r="A9" s="1" t="s">
        <v>4</v>
      </c>
      <c r="B9" s="2">
        <f>'[1]Proyección GOP'!$C$5*12</f>
        <v>567072</v>
      </c>
      <c r="C9" s="2">
        <f>B9*1.06</f>
        <v>601096.32000000007</v>
      </c>
      <c r="D9" s="2">
        <f>C9</f>
        <v>601096.32000000007</v>
      </c>
      <c r="E9" s="2">
        <f t="shared" ref="E9:F9" si="2">D9</f>
        <v>601096.32000000007</v>
      </c>
      <c r="F9" s="2">
        <f t="shared" si="2"/>
        <v>601096.32000000007</v>
      </c>
    </row>
    <row r="10" spans="1:9" x14ac:dyDescent="0.3">
      <c r="A10" s="1" t="s">
        <v>5</v>
      </c>
      <c r="B10" s="2">
        <f>'[1]Proyección GOP'!$C$6*12</f>
        <v>24000</v>
      </c>
      <c r="C10" s="9">
        <f>B10*1.357</f>
        <v>32568</v>
      </c>
      <c r="D10" s="9">
        <f t="shared" ref="D10:F10" si="3">C10*1.357</f>
        <v>44194.775999999998</v>
      </c>
      <c r="E10" s="9">
        <f t="shared" si="3"/>
        <v>59972.311031999998</v>
      </c>
      <c r="F10" s="9">
        <f t="shared" si="3"/>
        <v>81382.426070424</v>
      </c>
    </row>
    <row r="11" spans="1:9" x14ac:dyDescent="0.3">
      <c r="A11" s="1" t="s">
        <v>6</v>
      </c>
      <c r="B11" s="2">
        <f>'[1]Proyección GOP'!$C$7*12</f>
        <v>6000</v>
      </c>
      <c r="C11" s="9">
        <f t="shared" ref="C11:F11" si="4">B11*1.357</f>
        <v>8142</v>
      </c>
      <c r="D11" s="9">
        <f t="shared" si="4"/>
        <v>11048.694</v>
      </c>
      <c r="E11" s="9">
        <f t="shared" si="4"/>
        <v>14993.077757999999</v>
      </c>
      <c r="F11" s="9">
        <f t="shared" si="4"/>
        <v>20345.606517606</v>
      </c>
    </row>
    <row r="12" spans="1:9" x14ac:dyDescent="0.3">
      <c r="A12" s="1" t="s">
        <v>7</v>
      </c>
      <c r="B12" s="2">
        <f>'[1]Proyección GOP'!$C$8*12</f>
        <v>14400</v>
      </c>
      <c r="C12" s="9">
        <f t="shared" ref="C12:F12" si="5">B12*1.357</f>
        <v>19540.8</v>
      </c>
      <c r="D12" s="9">
        <f t="shared" si="5"/>
        <v>26516.865599999997</v>
      </c>
      <c r="E12" s="9">
        <f t="shared" si="5"/>
        <v>35983.386619199999</v>
      </c>
      <c r="F12" s="9">
        <f t="shared" si="5"/>
        <v>48829.455642254397</v>
      </c>
    </row>
    <row r="13" spans="1:9" x14ac:dyDescent="0.3">
      <c r="A13" s="1" t="s">
        <v>8</v>
      </c>
      <c r="B13" s="2">
        <f>'[1]Proyección GOP'!$C$9*12</f>
        <v>18000</v>
      </c>
      <c r="C13" s="9">
        <f t="shared" ref="C13:F13" si="6">B13*1.357</f>
        <v>24426</v>
      </c>
      <c r="D13" s="9">
        <f t="shared" si="6"/>
        <v>33146.082000000002</v>
      </c>
      <c r="E13" s="9">
        <f t="shared" si="6"/>
        <v>44979.233274000006</v>
      </c>
      <c r="F13" s="9">
        <f t="shared" si="6"/>
        <v>61036.819552818008</v>
      </c>
    </row>
    <row r="14" spans="1:9" x14ac:dyDescent="0.3">
      <c r="A14" s="1" t="s">
        <v>9</v>
      </c>
      <c r="B14" s="2">
        <f>'[1]Proyección GOP'!$C$10*12</f>
        <v>18000</v>
      </c>
      <c r="C14" s="9">
        <f t="shared" ref="C14:F14" si="7">B14*1.357</f>
        <v>24426</v>
      </c>
      <c r="D14" s="9">
        <f t="shared" si="7"/>
        <v>33146.082000000002</v>
      </c>
      <c r="E14" s="9">
        <f t="shared" si="7"/>
        <v>44979.233274000006</v>
      </c>
      <c r="F14" s="9">
        <f t="shared" si="7"/>
        <v>61036.819552818008</v>
      </c>
    </row>
    <row r="15" spans="1:9" x14ac:dyDescent="0.3">
      <c r="A15" s="1" t="s">
        <v>19</v>
      </c>
      <c r="B15" s="2">
        <f>'[1]Proyección GOP'!$C$11*12</f>
        <v>46329.999999999993</v>
      </c>
      <c r="C15" s="9">
        <f t="shared" ref="C15:F15" si="8">B15*1.357</f>
        <v>62869.80999999999</v>
      </c>
      <c r="D15" s="9">
        <f t="shared" si="8"/>
        <v>85314.33216999998</v>
      </c>
      <c r="E15" s="9">
        <f t="shared" si="8"/>
        <v>115771.54875468997</v>
      </c>
      <c r="F15" s="9">
        <f t="shared" si="8"/>
        <v>157101.99166011429</v>
      </c>
    </row>
    <row r="16" spans="1:9" x14ac:dyDescent="0.3">
      <c r="A16" s="1" t="s">
        <v>10</v>
      </c>
      <c r="B16" s="2">
        <f>'[1]Proyección GOP'!$C$12*12</f>
        <v>9600</v>
      </c>
      <c r="C16" s="9">
        <f t="shared" ref="C16:F16" si="9">B16*1.357</f>
        <v>13027.2</v>
      </c>
      <c r="D16" s="9">
        <f t="shared" si="9"/>
        <v>17677.910400000001</v>
      </c>
      <c r="E16" s="9">
        <f t="shared" si="9"/>
        <v>23988.924412799999</v>
      </c>
      <c r="F16" s="9">
        <f t="shared" si="9"/>
        <v>32552.970428169599</v>
      </c>
    </row>
    <row r="17" spans="1:6" x14ac:dyDescent="0.3">
      <c r="A17" s="3" t="s">
        <v>11</v>
      </c>
      <c r="B17" s="4">
        <f>SUM(B9:B16)</f>
        <v>703402</v>
      </c>
      <c r="C17" s="4">
        <f t="shared" ref="C17:F17" si="10">SUM(C9:C16)</f>
        <v>786096.13</v>
      </c>
      <c r="D17" s="4">
        <f t="shared" si="10"/>
        <v>852141.06217000016</v>
      </c>
      <c r="E17" s="4">
        <f t="shared" si="10"/>
        <v>941764.03512469004</v>
      </c>
      <c r="F17" s="4">
        <f t="shared" si="10"/>
        <v>1063382.4094242044</v>
      </c>
    </row>
    <row r="18" spans="1:6" x14ac:dyDescent="0.3">
      <c r="A18" s="3" t="s">
        <v>12</v>
      </c>
      <c r="B18" s="4">
        <f>B7-B17</f>
        <v>34692.971428571502</v>
      </c>
      <c r="C18" s="4">
        <f t="shared" ref="C18:F18" si="11">C7-C17</f>
        <v>25808.338571428787</v>
      </c>
      <c r="D18" s="4">
        <f t="shared" si="11"/>
        <v>40953.853258571704</v>
      </c>
      <c r="E18" s="4">
        <f t="shared" si="11"/>
        <v>40640.371846739319</v>
      </c>
      <c r="F18" s="4">
        <f t="shared" si="11"/>
        <v>17262.438244368182</v>
      </c>
    </row>
    <row r="19" spans="1:6" x14ac:dyDescent="0.3">
      <c r="A19" s="1" t="s">
        <v>13</v>
      </c>
      <c r="B19" s="5">
        <v>27000</v>
      </c>
      <c r="C19" s="5">
        <v>18000</v>
      </c>
      <c r="D19" s="1">
        <v>9000</v>
      </c>
      <c r="E19" s="1"/>
      <c r="F19" s="1"/>
    </row>
    <row r="20" spans="1:6" x14ac:dyDescent="0.3">
      <c r="A20" s="3" t="s">
        <v>14</v>
      </c>
      <c r="B20" s="4">
        <f>B18-B19</f>
        <v>7692.9714285715017</v>
      </c>
      <c r="C20" s="4">
        <f t="shared" ref="C20:F20" si="12">C18-C19</f>
        <v>7808.338571428787</v>
      </c>
      <c r="D20" s="4">
        <f t="shared" si="12"/>
        <v>31953.853258571704</v>
      </c>
      <c r="E20" s="4">
        <f t="shared" si="12"/>
        <v>40640.371846739319</v>
      </c>
      <c r="F20" s="4">
        <f t="shared" si="12"/>
        <v>17262.438244368182</v>
      </c>
    </row>
    <row r="21" spans="1:6" x14ac:dyDescent="0.3">
      <c r="A21" s="1" t="s">
        <v>15</v>
      </c>
      <c r="B21" s="2">
        <f>B20*0.3</f>
        <v>2307.8914285714504</v>
      </c>
      <c r="C21" s="2">
        <f t="shared" ref="C21:F21" si="13">C20*0.3</f>
        <v>2342.501571428636</v>
      </c>
      <c r="D21" s="2">
        <f t="shared" si="13"/>
        <v>9586.1559775715104</v>
      </c>
      <c r="E21" s="2">
        <f t="shared" si="13"/>
        <v>12192.111554021796</v>
      </c>
      <c r="F21" s="2">
        <f t="shared" si="13"/>
        <v>5178.7314733104549</v>
      </c>
    </row>
    <row r="22" spans="1:6" x14ac:dyDescent="0.3">
      <c r="A22" s="1" t="s">
        <v>16</v>
      </c>
      <c r="B22" s="2">
        <f>B20*0.1</f>
        <v>769.29714285715022</v>
      </c>
      <c r="C22" s="2">
        <f t="shared" ref="C22:F22" si="14">C20*0.1</f>
        <v>780.83385714287874</v>
      </c>
      <c r="D22" s="2">
        <f t="shared" si="14"/>
        <v>3195.3853258571708</v>
      </c>
      <c r="E22" s="2">
        <f t="shared" si="14"/>
        <v>4064.0371846739322</v>
      </c>
      <c r="F22" s="2">
        <f t="shared" si="14"/>
        <v>1726.2438244368184</v>
      </c>
    </row>
    <row r="23" spans="1:6" x14ac:dyDescent="0.3">
      <c r="A23" s="3" t="s">
        <v>17</v>
      </c>
      <c r="B23" s="4">
        <f>B20-B21-B22</f>
        <v>4615.7828571429009</v>
      </c>
      <c r="C23" s="4">
        <f t="shared" ref="C23:F23" si="15">C20-C21-C22</f>
        <v>4685.003142857272</v>
      </c>
      <c r="D23" s="4">
        <f t="shared" si="15"/>
        <v>19172.311955143021</v>
      </c>
      <c r="E23" s="4">
        <f t="shared" si="15"/>
        <v>24384.223108043592</v>
      </c>
      <c r="F23" s="4">
        <f t="shared" si="15"/>
        <v>10357.46294662091</v>
      </c>
    </row>
  </sheetData>
  <mergeCells count="3">
    <mergeCell ref="A1:F1"/>
    <mergeCell ref="A3:F3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de resultaldos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Terrazas Lopez Gicela</dc:creator>
  <cp:lastModifiedBy>Gicela Terrazas</cp:lastModifiedBy>
  <dcterms:created xsi:type="dcterms:W3CDTF">2025-12-14T23:28:27Z</dcterms:created>
  <dcterms:modified xsi:type="dcterms:W3CDTF">2025-12-15T03:30:57Z</dcterms:modified>
</cp:coreProperties>
</file>
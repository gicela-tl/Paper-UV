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b6dbb5fc52919/Documentos/LUZ MARIA/DOC/universidad/"/>
    </mc:Choice>
  </mc:AlternateContent>
  <xr:revisionPtr revIDLastSave="0" documentId="8_{5E8B77E9-BA26-4326-A527-6783D72512EB}" xr6:coauthVersionLast="47" xr6:coauthVersionMax="47" xr10:uidLastSave="{00000000-0000-0000-0000-000000000000}"/>
  <bookViews>
    <workbookView xWindow="-120" yWindow="-120" windowWidth="20730" windowHeight="11160" xr2:uid="{79A70498-258F-49CA-9A34-FB99FCEFD8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5" i="1" l="1"/>
  <c r="E143" i="1"/>
  <c r="E144" i="1"/>
  <c r="E142" i="1"/>
  <c r="C155" i="1"/>
  <c r="C151" i="1"/>
  <c r="J64" i="1"/>
  <c r="K64" i="1"/>
  <c r="L64" i="1" s="1"/>
  <c r="J65" i="1"/>
  <c r="K65" i="1" s="1"/>
  <c r="L65" i="1" s="1"/>
  <c r="J66" i="1"/>
  <c r="K66" i="1"/>
  <c r="L66" i="1" s="1"/>
  <c r="I65" i="1"/>
  <c r="I66" i="1"/>
  <c r="I67" i="1" s="1"/>
  <c r="I64" i="1"/>
  <c r="H66" i="1"/>
  <c r="H65" i="1"/>
  <c r="H64" i="1"/>
  <c r="J67" i="1"/>
  <c r="H67" i="1"/>
  <c r="C67" i="1"/>
  <c r="C66" i="1"/>
  <c r="C64" i="1"/>
  <c r="C65" i="1"/>
  <c r="D42" i="1"/>
  <c r="E42" i="1"/>
  <c r="F42" i="1"/>
  <c r="G42" i="1"/>
  <c r="H42" i="1"/>
  <c r="I42" i="1"/>
  <c r="J42" i="1"/>
  <c r="K42" i="1"/>
  <c r="L42" i="1"/>
  <c r="M42" i="1"/>
  <c r="N42" i="1"/>
  <c r="C42" i="1"/>
  <c r="D40" i="1"/>
  <c r="E40" i="1"/>
  <c r="F40" i="1"/>
  <c r="G40" i="1"/>
  <c r="H40" i="1"/>
  <c r="I40" i="1"/>
  <c r="J40" i="1"/>
  <c r="K40" i="1"/>
  <c r="L40" i="1"/>
  <c r="M40" i="1"/>
  <c r="N40" i="1"/>
  <c r="C40" i="1"/>
  <c r="C152" i="1"/>
  <c r="C154" i="1" s="1"/>
  <c r="C156" i="1" s="1"/>
  <c r="D108" i="1"/>
  <c r="D107" i="1"/>
  <c r="D59" i="1"/>
  <c r="E59" i="1"/>
  <c r="F59" i="1"/>
  <c r="G59" i="1"/>
  <c r="H59" i="1"/>
  <c r="I59" i="1"/>
  <c r="J59" i="1"/>
  <c r="K59" i="1"/>
  <c r="L59" i="1"/>
  <c r="M59" i="1"/>
  <c r="N59" i="1"/>
  <c r="C59" i="1"/>
  <c r="D52" i="1"/>
  <c r="E52" i="1"/>
  <c r="F52" i="1"/>
  <c r="G52" i="1"/>
  <c r="H52" i="1"/>
  <c r="I52" i="1"/>
  <c r="J52" i="1"/>
  <c r="K52" i="1"/>
  <c r="L52" i="1"/>
  <c r="M52" i="1"/>
  <c r="N52" i="1"/>
  <c r="C52" i="1"/>
  <c r="E46" i="1"/>
  <c r="L67" i="1" l="1"/>
  <c r="K67" i="1"/>
</calcChain>
</file>

<file path=xl/sharedStrings.xml><?xml version="1.0" encoding="utf-8"?>
<sst xmlns="http://schemas.openxmlformats.org/spreadsheetml/2006/main" count="259" uniqueCount="112">
  <si>
    <t>Análisis del Costo de Mercancía Vendida (CMV) + Costo de Servicios</t>
  </si>
  <si>
    <t>Ventas base</t>
  </si>
  <si>
    <t>Crecimiento volumen de ventas anual</t>
  </si>
  <si>
    <t>Crecimiento de precios anual</t>
  </si>
  <si>
    <t>Volumen de ventas proyectado en unidades mensual</t>
  </si>
  <si>
    <t>Rubro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</si>
  <si>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</si>
  <si>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</si>
  <si>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</si>
  <si>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</si>
  <si>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</si>
  <si>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</si>
  <si>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</si>
  <si>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</si>
  <si>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</si>
  <si>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</si>
  <si>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</si>
  <si>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</si>
  <si>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Impresiones B/N</t>
  </si>
  <si>
    <t>Impresiones color</t>
  </si>
  <si>
    <t>Engargolados/plastificado</t>
  </si>
  <si>
    <t>Papelería básica</t>
  </si>
  <si>
    <t>Material especializado</t>
  </si>
  <si>
    <t>Volumen de ventas proyectado en unidades anual</t>
  </si>
  <si>
    <t>Año 1</t>
  </si>
  <si>
    <t>Año 2</t>
  </si>
  <si>
    <t>Año 3</t>
  </si>
  <si>
    <t>Año 4</t>
  </si>
  <si>
    <t>Año 5</t>
  </si>
  <si>
    <t>Consumo de insumos por servicios</t>
  </si>
  <si>
    <t>Servicio</t>
  </si>
  <si>
    <t>Insumos</t>
  </si>
  <si>
    <t>Costo unitario</t>
  </si>
  <si>
    <t>Impresión B/N</t>
  </si>
  <si>
    <t>1 hoja + 1/200 tóner</t>
  </si>
  <si>
    <t>Impresión color</t>
  </si>
  <si>
    <t>1 hoja + tinta</t>
  </si>
  <si>
    <t>Engargolado</t>
  </si>
  <si>
    <t>Espiral + pasta</t>
  </si>
  <si>
    <t>Presupuesto de compras</t>
  </si>
  <si>
    <t>Consumo de papel bond para impresiones B/N mensual</t>
  </si>
  <si>
    <t xml:space="preserve">Rubro </t>
  </si>
  <si>
    <t>Impresiones B/N mensuales</t>
  </si>
  <si>
    <t>Resma (hojas)</t>
  </si>
  <si>
    <t xml:space="preserve">Resmas necesarias </t>
  </si>
  <si>
    <t>Costo de Resma</t>
  </si>
  <si>
    <t>Costo mensual papel bond</t>
  </si>
  <si>
    <t>Consumo de tóner</t>
  </si>
  <si>
    <t>Un tóner rinde aprox 4,000 copias</t>
  </si>
  <si>
    <t>Copias</t>
  </si>
  <si>
    <t>Tóner</t>
  </si>
  <si>
    <t>Costo promedio por tóner</t>
  </si>
  <si>
    <t>Costo mensual de tóner</t>
  </si>
  <si>
    <t xml:space="preserve">Compra de papelería básica para venta </t>
  </si>
  <si>
    <t>Ventas mensuales totales</t>
  </si>
  <si>
    <t>Costo promedio de mercancía</t>
  </si>
  <si>
    <t>Compras mensuales de mercancía</t>
  </si>
  <si>
    <t>Compras totales mensuales</t>
  </si>
  <si>
    <t>Compras totales anuales (incremento del 16%)</t>
  </si>
  <si>
    <t>Papel bond B/N</t>
  </si>
  <si>
    <t>Compra de papelería básica</t>
  </si>
  <si>
    <t>Total compra al mes</t>
  </si>
  <si>
    <t>Compras de contado y crédito a proveedores</t>
  </si>
  <si>
    <t>Máximo crédito de proveedores</t>
  </si>
  <si>
    <t>Compras a contado</t>
  </si>
  <si>
    <t>Compras totales</t>
  </si>
  <si>
    <t>Tipo de compra</t>
  </si>
  <si>
    <t>Crédito</t>
  </si>
  <si>
    <t>Contado</t>
  </si>
  <si>
    <t>Total compras</t>
  </si>
  <si>
    <t>Compras anuales</t>
  </si>
  <si>
    <t>Año1</t>
  </si>
  <si>
    <t xml:space="preserve">Contado </t>
  </si>
  <si>
    <t>Presupuesto de cuantas por pagar a proveedores</t>
  </si>
  <si>
    <t>Crédito proveedores mensual</t>
  </si>
  <si>
    <t>Plazo promedio</t>
  </si>
  <si>
    <t>30 días</t>
  </si>
  <si>
    <t>Cuentas por pagar promedio</t>
  </si>
  <si>
    <t>Presupuesto anual (incremento anual por inflación del 6%)</t>
  </si>
  <si>
    <t>Crédito proveedores anual</t>
  </si>
  <si>
    <t>Cuentas por pagar promedio anual</t>
  </si>
  <si>
    <t>Mano de obra (No productiva)</t>
  </si>
  <si>
    <t>Trabajadores</t>
  </si>
  <si>
    <t xml:space="preserve">Sueldo quincenal </t>
  </si>
  <si>
    <t>Sueldo mensual</t>
  </si>
  <si>
    <t>Incremento salarial</t>
  </si>
  <si>
    <t>Sueldo anual</t>
  </si>
  <si>
    <t>Gastos Indirectos</t>
  </si>
  <si>
    <t>Luz</t>
  </si>
  <si>
    <t>Agua</t>
  </si>
  <si>
    <t xml:space="preserve">Internet </t>
  </si>
  <si>
    <t>Publicidad y promoción</t>
  </si>
  <si>
    <t>Mantenimiento</t>
  </si>
  <si>
    <t>Depreciación</t>
  </si>
  <si>
    <t>Limpieza</t>
  </si>
  <si>
    <t>Total</t>
  </si>
  <si>
    <t>Costo unitario por servicios</t>
  </si>
  <si>
    <t>Costo</t>
  </si>
  <si>
    <t>Precio</t>
  </si>
  <si>
    <t>Costo mensual</t>
  </si>
  <si>
    <t>Total mensual del costo unitario</t>
  </si>
  <si>
    <t>Estado de Costo de Ventas</t>
  </si>
  <si>
    <t>Concepto</t>
  </si>
  <si>
    <t>Monto</t>
  </si>
  <si>
    <t>Inventario inicial</t>
  </si>
  <si>
    <t>Compras del mes</t>
  </si>
  <si>
    <t>Mercancía disponible</t>
  </si>
  <si>
    <t>Inventario final</t>
  </si>
  <si>
    <t>Costo de Mercancía Vendida</t>
  </si>
  <si>
    <t>Costos de servicios</t>
  </si>
  <si>
    <t>Costo total de ventas</t>
  </si>
  <si>
    <t>Total compra al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</si>
</sst>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9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9" fontId="0" fillId="0" borderId="1" xfId="2" applyFont="1" applyBorder="1"/>
    <xf numFmtId="44" fontId="0" fillId="0" borderId="1" xfId="1" applyFont="1" applyBorder="1"/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9" fontId="0" fillId="0" borderId="0" xfId="2" applyFont="1"/>
    <xf numFmtId="0" fontId="2" fillId="0" borderId="0" xfId="0" applyFont="1"/>
    <xf numFmtId="44" fontId="2" fillId="2" borderId="1" xfId="1" applyFont="1" applyFill="1" applyBorder="1" applyAlignment="1">
      <alignment horizontal="center"/>
    </xf>
    <xf numFmtId="44" fontId="0" fillId="0" borderId="0" xfId="1" applyFont="1"/>
    <xf numFmtId="44" fontId="2" fillId="2" borderId="1" xfId="1" applyFont="1" applyFill="1" applyBorder="1"/>
    <xf numFmtId="0" fontId="2" fillId="2" borderId="0" xfId="0" applyFont="1" applyFill="1" applyBorder="1" applyAlignment="1">
      <alignment horizontal="center"/>
    </xf>
    <xf numFmtId="0" fontId="0" fillId="0" borderId="1" xfId="0" applyFont="1" applyBorder="1"/>
    <xf numFmtId="44" fontId="1" fillId="0" borderId="1" xfId="1" applyFont="1" applyBorder="1"/>
    <xf numFmtId="0" fontId="2" fillId="0" borderId="5" xfId="0" applyFont="1" applyBorder="1"/>
    <xf numFmtId="44" fontId="2" fillId="0" borderId="5" xfId="1" applyFont="1" applyBorder="1"/>
    <xf numFmtId="0" fontId="0" fillId="0" borderId="4" xfId="0" applyFont="1" applyBorder="1"/>
    <xf numFmtId="44" fontId="1" fillId="0" borderId="4" xfId="1" applyFont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D812-649D-4758-AA4C-CC7CD426AA56}">
  <dimension ref="B2:N156"/>
  <sheetViews>
    <sheetView tabSelected="1" topLeftCell="A49" workbookViewId="0">
      <selection activeCell="G148" sqref="G148"/>
    </sheetView>
  </sheetViews>
  <sheetFormatPr baseColWidth="10" defaultRowHeight="15" x14ac:dyDescent="0.25"/>
  <cols>
    <col min="2" max="2" width="30.42578125" customWidth="1"/>
    <col min="3" max="3" width="18.140625" customWidth="1"/>
    <col min="4" max="14" width="12.5703125" bestFit="1" customWidth="1"/>
  </cols>
  <sheetData>
    <row r="2" spans="2:14" x14ac:dyDescent="0.25">
      <c r="B2" s="4" t="s">
        <v>0</v>
      </c>
      <c r="C2" s="4"/>
      <c r="D2" s="4"/>
      <c r="E2" s="4"/>
      <c r="F2" s="4"/>
    </row>
    <row r="4" spans="2:14" x14ac:dyDescent="0.25">
      <c r="B4" s="1" t="s">
        <v>1</v>
      </c>
      <c r="C4" s="1"/>
      <c r="D4" s="2">
        <v>120900</v>
      </c>
    </row>
    <row r="5" spans="2:14" x14ac:dyDescent="0.25">
      <c r="B5" s="1" t="s">
        <v>2</v>
      </c>
      <c r="C5" s="1"/>
      <c r="D5" s="3">
        <v>0.1</v>
      </c>
    </row>
    <row r="6" spans="2:14" x14ac:dyDescent="0.25">
      <c r="B6" s="1" t="s">
        <v>3</v>
      </c>
      <c r="C6" s="1"/>
      <c r="D6" s="3">
        <v>0.06</v>
      </c>
    </row>
    <row r="8" spans="2:14" x14ac:dyDescent="0.25">
      <c r="B8" s="4" t="s">
        <v>4</v>
      </c>
      <c r="C8" s="4"/>
      <c r="D8" s="4"/>
      <c r="E8" s="4"/>
      <c r="F8" s="4"/>
    </row>
    <row r="10" spans="2:14" x14ac:dyDescent="0.25"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</row>
    <row r="11" spans="2:14" x14ac:dyDescent="0.25">
      <c r="B11" s="5" t="s">
        <v>18</v>
      </c>
      <c r="C11" s="5">
        <v>28210</v>
      </c>
      <c r="D11" s="5">
        <v>28210</v>
      </c>
      <c r="E11" s="5">
        <v>28210</v>
      </c>
      <c r="F11" s="5">
        <v>28210</v>
      </c>
      <c r="G11" s="5">
        <v>28210</v>
      </c>
      <c r="H11" s="5">
        <v>28210</v>
      </c>
      <c r="I11" s="5">
        <v>28210</v>
      </c>
      <c r="J11" s="5">
        <v>28210</v>
      </c>
      <c r="K11" s="5">
        <v>28210</v>
      </c>
      <c r="L11" s="5">
        <v>28210</v>
      </c>
      <c r="M11" s="5">
        <v>28210</v>
      </c>
      <c r="N11" s="5">
        <v>28210</v>
      </c>
    </row>
    <row r="12" spans="2:14" x14ac:dyDescent="0.25">
      <c r="B12" s="5" t="s">
        <v>19</v>
      </c>
      <c r="C12" s="8">
        <v>1727.1428571428571</v>
      </c>
      <c r="D12" s="8">
        <v>1727.1428571428571</v>
      </c>
      <c r="E12" s="8">
        <v>1727.1428571428571</v>
      </c>
      <c r="F12" s="8">
        <v>1727.1428571428571</v>
      </c>
      <c r="G12" s="8">
        <v>1727.1428571428571</v>
      </c>
      <c r="H12" s="8">
        <v>1727.1428571428571</v>
      </c>
      <c r="I12" s="8">
        <v>1727.1428571428571</v>
      </c>
      <c r="J12" s="8">
        <v>1727.1428571428571</v>
      </c>
      <c r="K12" s="8">
        <v>1727.1428571428571</v>
      </c>
      <c r="L12" s="8">
        <v>1727.1428571428571</v>
      </c>
      <c r="M12" s="8">
        <v>1727.1428571428571</v>
      </c>
      <c r="N12" s="8">
        <v>1727.1428571428571</v>
      </c>
    </row>
    <row r="13" spans="2:14" x14ac:dyDescent="0.25">
      <c r="B13" s="5" t="s">
        <v>20</v>
      </c>
      <c r="C13" s="8">
        <v>241.8</v>
      </c>
      <c r="D13" s="8">
        <v>241.8</v>
      </c>
      <c r="E13" s="8">
        <v>241.8</v>
      </c>
      <c r="F13" s="8">
        <v>241.8</v>
      </c>
      <c r="G13" s="8">
        <v>241.8</v>
      </c>
      <c r="H13" s="8">
        <v>241.8</v>
      </c>
      <c r="I13" s="8">
        <v>241.8</v>
      </c>
      <c r="J13" s="8">
        <v>241.8</v>
      </c>
      <c r="K13" s="8">
        <v>241.8</v>
      </c>
      <c r="L13" s="8">
        <v>241.8</v>
      </c>
      <c r="M13" s="8">
        <v>241.8</v>
      </c>
      <c r="N13" s="8">
        <v>241.8</v>
      </c>
    </row>
    <row r="14" spans="2:14" x14ac:dyDescent="0.25">
      <c r="B14" s="5" t="s">
        <v>21</v>
      </c>
      <c r="C14" s="8">
        <v>1381.7142857142858</v>
      </c>
      <c r="D14" s="8">
        <v>1381.7142857142858</v>
      </c>
      <c r="E14" s="8">
        <v>1381.7142857142858</v>
      </c>
      <c r="F14" s="8">
        <v>1381.7142857142858</v>
      </c>
      <c r="G14" s="8">
        <v>1381.7142857142858</v>
      </c>
      <c r="H14" s="8">
        <v>1381.7142857142858</v>
      </c>
      <c r="I14" s="8">
        <v>1381.7142857142858</v>
      </c>
      <c r="J14" s="8">
        <v>1381.7142857142858</v>
      </c>
      <c r="K14" s="8">
        <v>1381.7142857142858</v>
      </c>
      <c r="L14" s="8">
        <v>1381.7142857142858</v>
      </c>
      <c r="M14" s="8">
        <v>1381.7142857142858</v>
      </c>
      <c r="N14" s="8">
        <v>1381.7142857142858</v>
      </c>
    </row>
    <row r="15" spans="2:14" x14ac:dyDescent="0.25">
      <c r="B15" s="5" t="s">
        <v>22</v>
      </c>
      <c r="C15" s="8">
        <v>241.8</v>
      </c>
      <c r="D15" s="8">
        <v>241.8</v>
      </c>
      <c r="E15" s="8">
        <v>241.8</v>
      </c>
      <c r="F15" s="8">
        <v>241.8</v>
      </c>
      <c r="G15" s="8">
        <v>241.8</v>
      </c>
      <c r="H15" s="8">
        <v>241.8</v>
      </c>
      <c r="I15" s="8">
        <v>241.8</v>
      </c>
      <c r="J15" s="8">
        <v>241.8</v>
      </c>
      <c r="K15" s="8">
        <v>241.8</v>
      </c>
      <c r="L15" s="8">
        <v>241.8</v>
      </c>
      <c r="M15" s="8">
        <v>241.8</v>
      </c>
      <c r="N15" s="8">
        <v>241.8</v>
      </c>
    </row>
    <row r="17" spans="2:7" x14ac:dyDescent="0.25">
      <c r="B17" s="4" t="s">
        <v>23</v>
      </c>
      <c r="C17" s="4"/>
      <c r="D17" s="4"/>
      <c r="E17" s="4"/>
      <c r="F17" s="4"/>
    </row>
    <row r="19" spans="2:7" x14ac:dyDescent="0.25">
      <c r="B19" s="7" t="s">
        <v>5</v>
      </c>
      <c r="C19" s="7" t="s">
        <v>24</v>
      </c>
      <c r="D19" s="7" t="s">
        <v>25</v>
      </c>
      <c r="E19" s="7" t="s">
        <v>26</v>
      </c>
      <c r="F19" s="7" t="s">
        <v>27</v>
      </c>
      <c r="G19" s="7" t="s">
        <v>28</v>
      </c>
    </row>
    <row r="20" spans="2:7" x14ac:dyDescent="0.25">
      <c r="B20" s="5" t="s">
        <v>18</v>
      </c>
      <c r="C20" s="5">
        <v>338520</v>
      </c>
      <c r="D20" s="5">
        <v>372372</v>
      </c>
      <c r="E20" s="5">
        <v>409609.2</v>
      </c>
      <c r="F20" s="5">
        <v>450570.12</v>
      </c>
      <c r="G20" s="5">
        <v>495627.13199999998</v>
      </c>
    </row>
    <row r="21" spans="2:7" x14ac:dyDescent="0.25">
      <c r="B21" s="5" t="s">
        <v>19</v>
      </c>
      <c r="C21" s="8">
        <v>20725.71428571429</v>
      </c>
      <c r="D21" s="8">
        <v>22798.285714285717</v>
      </c>
      <c r="E21" s="8">
        <v>25078.114285714288</v>
      </c>
      <c r="F21" s="8">
        <v>27585.925714285717</v>
      </c>
      <c r="G21" s="8">
        <v>30344.51828571429</v>
      </c>
    </row>
    <row r="22" spans="2:7" x14ac:dyDescent="0.25">
      <c r="B22" s="5" t="s">
        <v>20</v>
      </c>
      <c r="C22" s="8">
        <v>2901.6000000000004</v>
      </c>
      <c r="D22" s="8">
        <v>3191.76</v>
      </c>
      <c r="E22" s="8">
        <v>3510.9360000000001</v>
      </c>
      <c r="F22" s="8">
        <v>3862.0296000000003</v>
      </c>
      <c r="G22" s="8">
        <v>4248.2325600000004</v>
      </c>
    </row>
    <row r="23" spans="2:7" x14ac:dyDescent="0.25">
      <c r="B23" s="5" t="s">
        <v>21</v>
      </c>
      <c r="C23" s="8">
        <v>16580.571428571431</v>
      </c>
      <c r="D23" s="8">
        <v>18238.628571428573</v>
      </c>
      <c r="E23" s="8">
        <v>20062.491428571429</v>
      </c>
      <c r="F23" s="8">
        <v>22068.740571428571</v>
      </c>
      <c r="G23" s="8">
        <v>24275.614628571428</v>
      </c>
    </row>
    <row r="24" spans="2:7" x14ac:dyDescent="0.25">
      <c r="B24" s="5" t="s">
        <v>22</v>
      </c>
      <c r="C24" s="8">
        <v>2901.6000000000004</v>
      </c>
      <c r="D24" s="8">
        <v>3191.76</v>
      </c>
      <c r="E24" s="8">
        <v>3510.9360000000001</v>
      </c>
      <c r="F24" s="8">
        <v>3862.0296000000003</v>
      </c>
      <c r="G24" s="8">
        <v>4248.2325600000004</v>
      </c>
    </row>
    <row r="26" spans="2:7" x14ac:dyDescent="0.25">
      <c r="B26" s="4" t="s">
        <v>29</v>
      </c>
      <c r="C26" s="4"/>
      <c r="D26" s="4"/>
      <c r="E26" s="4"/>
      <c r="F26" s="4"/>
    </row>
    <row r="28" spans="2:7" x14ac:dyDescent="0.25">
      <c r="B28" s="6" t="s">
        <v>30</v>
      </c>
      <c r="C28" s="9" t="s">
        <v>31</v>
      </c>
      <c r="D28" s="10"/>
      <c r="E28" s="6" t="s">
        <v>32</v>
      </c>
    </row>
    <row r="29" spans="2:7" x14ac:dyDescent="0.25">
      <c r="B29" s="5" t="s">
        <v>33</v>
      </c>
      <c r="C29" s="11" t="s">
        <v>34</v>
      </c>
      <c r="D29" s="12"/>
      <c r="E29" s="15">
        <v>0.4</v>
      </c>
    </row>
    <row r="30" spans="2:7" x14ac:dyDescent="0.25">
      <c r="B30" s="5" t="s">
        <v>35</v>
      </c>
      <c r="C30" s="11" t="s">
        <v>36</v>
      </c>
      <c r="D30" s="12"/>
      <c r="E30" s="15">
        <v>2</v>
      </c>
    </row>
    <row r="31" spans="2:7" x14ac:dyDescent="0.25">
      <c r="B31" s="5" t="s">
        <v>37</v>
      </c>
      <c r="C31" s="11" t="s">
        <v>38</v>
      </c>
      <c r="D31" s="12"/>
      <c r="E31" s="15">
        <v>8</v>
      </c>
    </row>
    <row r="33" spans="2:14" x14ac:dyDescent="0.25">
      <c r="B33" s="4" t="s">
        <v>39</v>
      </c>
      <c r="C33" s="4"/>
      <c r="D33" s="4"/>
      <c r="E33" s="4"/>
      <c r="F33" s="4"/>
    </row>
    <row r="35" spans="2:14" x14ac:dyDescent="0.25">
      <c r="B35" s="13" t="s">
        <v>40</v>
      </c>
      <c r="C35" s="13"/>
      <c r="D35" s="13"/>
    </row>
    <row r="37" spans="2:14" x14ac:dyDescent="0.25">
      <c r="B37" s="7" t="s">
        <v>41</v>
      </c>
      <c r="C37" s="7" t="s">
        <v>6</v>
      </c>
      <c r="D37" s="7" t="s">
        <v>7</v>
      </c>
      <c r="E37" s="7" t="s">
        <v>8</v>
      </c>
      <c r="F37" s="7" t="s">
        <v>9</v>
      </c>
      <c r="G37" s="7" t="s">
        <v>10</v>
      </c>
      <c r="H37" s="7" t="s">
        <v>11</v>
      </c>
      <c r="I37" s="7" t="s">
        <v>12</v>
      </c>
      <c r="J37" s="7" t="s">
        <v>13</v>
      </c>
      <c r="K37" s="7" t="s">
        <v>14</v>
      </c>
      <c r="L37" s="7" t="s">
        <v>15</v>
      </c>
      <c r="M37" s="7" t="s">
        <v>16</v>
      </c>
      <c r="N37" s="7" t="s">
        <v>17</v>
      </c>
    </row>
    <row r="38" spans="2:14" x14ac:dyDescent="0.25">
      <c r="B38" s="5" t="s">
        <v>42</v>
      </c>
      <c r="C38" s="5">
        <v>28210</v>
      </c>
      <c r="D38" s="5">
        <v>28210</v>
      </c>
      <c r="E38" s="5">
        <v>28210</v>
      </c>
      <c r="F38" s="5">
        <v>28210</v>
      </c>
      <c r="G38" s="5">
        <v>28210</v>
      </c>
      <c r="H38" s="5">
        <v>28210</v>
      </c>
      <c r="I38" s="5">
        <v>28210</v>
      </c>
      <c r="J38" s="5">
        <v>28210</v>
      </c>
      <c r="K38" s="5">
        <v>28210</v>
      </c>
      <c r="L38" s="5">
        <v>28210</v>
      </c>
      <c r="M38" s="5">
        <v>28210</v>
      </c>
      <c r="N38" s="5">
        <v>28210</v>
      </c>
    </row>
    <row r="39" spans="2:14" x14ac:dyDescent="0.25">
      <c r="B39" s="5" t="s">
        <v>43</v>
      </c>
      <c r="C39" s="5">
        <v>500</v>
      </c>
      <c r="D39" s="5">
        <v>500</v>
      </c>
      <c r="E39" s="5">
        <v>500</v>
      </c>
      <c r="F39" s="5">
        <v>500</v>
      </c>
      <c r="G39" s="5">
        <v>500</v>
      </c>
      <c r="H39" s="5">
        <v>500</v>
      </c>
      <c r="I39" s="5">
        <v>500</v>
      </c>
      <c r="J39" s="5">
        <v>500</v>
      </c>
      <c r="K39" s="5">
        <v>500</v>
      </c>
      <c r="L39" s="5">
        <v>500</v>
      </c>
      <c r="M39" s="5">
        <v>500</v>
      </c>
      <c r="N39" s="5">
        <v>500</v>
      </c>
    </row>
    <row r="40" spans="2:14" x14ac:dyDescent="0.25">
      <c r="B40" s="5" t="s">
        <v>44</v>
      </c>
      <c r="C40" s="5">
        <f>C38/C39</f>
        <v>56.42</v>
      </c>
      <c r="D40" s="5">
        <f t="shared" ref="D40:N40" si="0">D38/D39</f>
        <v>56.42</v>
      </c>
      <c r="E40" s="5">
        <f t="shared" si="0"/>
        <v>56.42</v>
      </c>
      <c r="F40" s="5">
        <f t="shared" si="0"/>
        <v>56.42</v>
      </c>
      <c r="G40" s="5">
        <f t="shared" si="0"/>
        <v>56.42</v>
      </c>
      <c r="H40" s="5">
        <f t="shared" si="0"/>
        <v>56.42</v>
      </c>
      <c r="I40" s="5">
        <f t="shared" si="0"/>
        <v>56.42</v>
      </c>
      <c r="J40" s="5">
        <f t="shared" si="0"/>
        <v>56.42</v>
      </c>
      <c r="K40" s="5">
        <f t="shared" si="0"/>
        <v>56.42</v>
      </c>
      <c r="L40" s="5">
        <f t="shared" si="0"/>
        <v>56.42</v>
      </c>
      <c r="M40" s="5">
        <f t="shared" si="0"/>
        <v>56.42</v>
      </c>
      <c r="N40" s="5">
        <f t="shared" si="0"/>
        <v>56.42</v>
      </c>
    </row>
    <row r="41" spans="2:14" x14ac:dyDescent="0.25">
      <c r="B41" s="5" t="s">
        <v>45</v>
      </c>
      <c r="C41" s="15">
        <v>70</v>
      </c>
      <c r="D41" s="15">
        <v>70</v>
      </c>
      <c r="E41" s="15">
        <v>70</v>
      </c>
      <c r="F41" s="15">
        <v>70</v>
      </c>
      <c r="G41" s="15">
        <v>70</v>
      </c>
      <c r="H41" s="15">
        <v>70</v>
      </c>
      <c r="I41" s="15">
        <v>70</v>
      </c>
      <c r="J41" s="15">
        <v>70</v>
      </c>
      <c r="K41" s="15">
        <v>70</v>
      </c>
      <c r="L41" s="15">
        <v>70</v>
      </c>
      <c r="M41" s="15">
        <v>70</v>
      </c>
      <c r="N41" s="15">
        <v>70</v>
      </c>
    </row>
    <row r="42" spans="2:14" x14ac:dyDescent="0.25">
      <c r="B42" s="5" t="s">
        <v>46</v>
      </c>
      <c r="C42" s="15">
        <f>C40*C41</f>
        <v>3949.4</v>
      </c>
      <c r="D42" s="15">
        <f t="shared" ref="D42:N42" si="1">D40*D41</f>
        <v>3949.4</v>
      </c>
      <c r="E42" s="15">
        <f t="shared" si="1"/>
        <v>3949.4</v>
      </c>
      <c r="F42" s="15">
        <f t="shared" si="1"/>
        <v>3949.4</v>
      </c>
      <c r="G42" s="15">
        <f t="shared" si="1"/>
        <v>3949.4</v>
      </c>
      <c r="H42" s="15">
        <f t="shared" si="1"/>
        <v>3949.4</v>
      </c>
      <c r="I42" s="15">
        <f t="shared" si="1"/>
        <v>3949.4</v>
      </c>
      <c r="J42" s="15">
        <f t="shared" si="1"/>
        <v>3949.4</v>
      </c>
      <c r="K42" s="15">
        <f t="shared" si="1"/>
        <v>3949.4</v>
      </c>
      <c r="L42" s="15">
        <f t="shared" si="1"/>
        <v>3949.4</v>
      </c>
      <c r="M42" s="15">
        <f t="shared" si="1"/>
        <v>3949.4</v>
      </c>
      <c r="N42" s="15">
        <f t="shared" si="1"/>
        <v>3949.4</v>
      </c>
    </row>
    <row r="44" spans="2:14" x14ac:dyDescent="0.25">
      <c r="B44" s="13" t="s">
        <v>47</v>
      </c>
      <c r="C44" s="13"/>
      <c r="D44" s="13"/>
    </row>
    <row r="46" spans="2:14" x14ac:dyDescent="0.25">
      <c r="B46" s="1" t="s">
        <v>48</v>
      </c>
      <c r="C46" s="1"/>
      <c r="E46">
        <f>C49/5000</f>
        <v>5.6420000000000003</v>
      </c>
    </row>
    <row r="48" spans="2:14" x14ac:dyDescent="0.25">
      <c r="B48" s="7" t="s">
        <v>41</v>
      </c>
      <c r="C48" s="7" t="s">
        <v>6</v>
      </c>
      <c r="D48" s="7" t="s">
        <v>7</v>
      </c>
      <c r="E48" s="7" t="s">
        <v>8</v>
      </c>
      <c r="F48" s="7" t="s">
        <v>9</v>
      </c>
      <c r="G48" s="7" t="s">
        <v>10</v>
      </c>
      <c r="H48" s="7" t="s">
        <v>11</v>
      </c>
      <c r="I48" s="7" t="s">
        <v>12</v>
      </c>
      <c r="J48" s="7" t="s">
        <v>13</v>
      </c>
      <c r="K48" s="7" t="s">
        <v>14</v>
      </c>
      <c r="L48" s="7" t="s">
        <v>15</v>
      </c>
      <c r="M48" s="7" t="s">
        <v>16</v>
      </c>
      <c r="N48" s="7" t="s">
        <v>17</v>
      </c>
    </row>
    <row r="49" spans="2:14" x14ac:dyDescent="0.25">
      <c r="B49" s="5" t="s">
        <v>49</v>
      </c>
      <c r="C49" s="5">
        <v>28210</v>
      </c>
      <c r="D49" s="5">
        <v>28210</v>
      </c>
      <c r="E49" s="5">
        <v>28210</v>
      </c>
      <c r="F49" s="5">
        <v>28210</v>
      </c>
      <c r="G49" s="5">
        <v>28210</v>
      </c>
      <c r="H49" s="5">
        <v>28210</v>
      </c>
      <c r="I49" s="5">
        <v>28210</v>
      </c>
      <c r="J49" s="5">
        <v>28210</v>
      </c>
      <c r="K49" s="5">
        <v>28210</v>
      </c>
      <c r="L49" s="5">
        <v>28210</v>
      </c>
      <c r="M49" s="5">
        <v>28210</v>
      </c>
      <c r="N49" s="5">
        <v>28210</v>
      </c>
    </row>
    <row r="50" spans="2:14" x14ac:dyDescent="0.25">
      <c r="B50" s="5" t="s">
        <v>50</v>
      </c>
      <c r="C50" s="5">
        <v>5</v>
      </c>
      <c r="D50" s="5">
        <v>5</v>
      </c>
      <c r="E50" s="5">
        <v>5</v>
      </c>
      <c r="F50" s="5">
        <v>5</v>
      </c>
      <c r="G50" s="5">
        <v>5</v>
      </c>
      <c r="H50" s="5">
        <v>5</v>
      </c>
      <c r="I50" s="5">
        <v>5</v>
      </c>
      <c r="J50" s="5">
        <v>5</v>
      </c>
      <c r="K50" s="5">
        <v>5</v>
      </c>
      <c r="L50" s="5">
        <v>5</v>
      </c>
      <c r="M50" s="5">
        <v>5</v>
      </c>
      <c r="N50" s="5">
        <v>5</v>
      </c>
    </row>
    <row r="51" spans="2:14" x14ac:dyDescent="0.25">
      <c r="B51" s="5" t="s">
        <v>51</v>
      </c>
      <c r="C51" s="15">
        <v>300</v>
      </c>
      <c r="D51" s="15">
        <v>300</v>
      </c>
      <c r="E51" s="15">
        <v>300</v>
      </c>
      <c r="F51" s="15">
        <v>300</v>
      </c>
      <c r="G51" s="15">
        <v>300</v>
      </c>
      <c r="H51" s="15">
        <v>300</v>
      </c>
      <c r="I51" s="15">
        <v>300</v>
      </c>
      <c r="J51" s="15">
        <v>300</v>
      </c>
      <c r="K51" s="15">
        <v>300</v>
      </c>
      <c r="L51" s="15">
        <v>300</v>
      </c>
      <c r="M51" s="15">
        <v>300</v>
      </c>
      <c r="N51" s="15">
        <v>300</v>
      </c>
    </row>
    <row r="52" spans="2:14" x14ac:dyDescent="0.25">
      <c r="B52" s="5" t="s">
        <v>52</v>
      </c>
      <c r="C52" s="15">
        <f>C50*C51</f>
        <v>1500</v>
      </c>
      <c r="D52" s="15">
        <f t="shared" ref="D52:N52" si="2">D50*D51</f>
        <v>1500</v>
      </c>
      <c r="E52" s="15">
        <f t="shared" si="2"/>
        <v>1500</v>
      </c>
      <c r="F52" s="15">
        <f t="shared" si="2"/>
        <v>1500</v>
      </c>
      <c r="G52" s="15">
        <f t="shared" si="2"/>
        <v>1500</v>
      </c>
      <c r="H52" s="15">
        <f t="shared" si="2"/>
        <v>1500</v>
      </c>
      <c r="I52" s="15">
        <f t="shared" si="2"/>
        <v>1500</v>
      </c>
      <c r="J52" s="15">
        <f t="shared" si="2"/>
        <v>1500</v>
      </c>
      <c r="K52" s="15">
        <f t="shared" si="2"/>
        <v>1500</v>
      </c>
      <c r="L52" s="15">
        <f t="shared" si="2"/>
        <v>1500</v>
      </c>
      <c r="M52" s="15">
        <f t="shared" si="2"/>
        <v>1500</v>
      </c>
      <c r="N52" s="15">
        <f t="shared" si="2"/>
        <v>1500</v>
      </c>
    </row>
    <row r="54" spans="2:14" x14ac:dyDescent="0.25">
      <c r="B54" s="13" t="s">
        <v>53</v>
      </c>
      <c r="C54" s="13"/>
      <c r="D54" s="13"/>
      <c r="E54" s="13"/>
    </row>
    <row r="56" spans="2:14" x14ac:dyDescent="0.25">
      <c r="B56" s="7" t="s">
        <v>41</v>
      </c>
      <c r="C56" s="7" t="s">
        <v>6</v>
      </c>
      <c r="D56" s="7" t="s">
        <v>7</v>
      </c>
      <c r="E56" s="7" t="s">
        <v>8</v>
      </c>
      <c r="F56" s="7" t="s">
        <v>9</v>
      </c>
      <c r="G56" s="7" t="s">
        <v>10</v>
      </c>
      <c r="H56" s="7" t="s">
        <v>11</v>
      </c>
      <c r="I56" s="7" t="s">
        <v>12</v>
      </c>
      <c r="J56" s="7" t="s">
        <v>13</v>
      </c>
      <c r="K56" s="7" t="s">
        <v>14</v>
      </c>
      <c r="L56" s="7" t="s">
        <v>15</v>
      </c>
      <c r="M56" s="7" t="s">
        <v>16</v>
      </c>
      <c r="N56" s="7" t="s">
        <v>17</v>
      </c>
    </row>
    <row r="57" spans="2:14" x14ac:dyDescent="0.25">
      <c r="B57" s="5" t="s">
        <v>54</v>
      </c>
      <c r="C57" s="15">
        <v>120900</v>
      </c>
      <c r="D57" s="15">
        <v>120900</v>
      </c>
      <c r="E57" s="15">
        <v>120900</v>
      </c>
      <c r="F57" s="15">
        <v>120900</v>
      </c>
      <c r="G57" s="15">
        <v>120900</v>
      </c>
      <c r="H57" s="15">
        <v>120900</v>
      </c>
      <c r="I57" s="15">
        <v>120900</v>
      </c>
      <c r="J57" s="15">
        <v>120900</v>
      </c>
      <c r="K57" s="15">
        <v>120900</v>
      </c>
      <c r="L57" s="15">
        <v>120900</v>
      </c>
      <c r="M57" s="15">
        <v>120900</v>
      </c>
      <c r="N57" s="15">
        <v>120900</v>
      </c>
    </row>
    <row r="58" spans="2:14" x14ac:dyDescent="0.25">
      <c r="B58" s="5" t="s">
        <v>55</v>
      </c>
      <c r="C58" s="14">
        <v>0.3</v>
      </c>
      <c r="D58" s="14">
        <v>0.3</v>
      </c>
      <c r="E58" s="14">
        <v>0.3</v>
      </c>
      <c r="F58" s="14">
        <v>0.3</v>
      </c>
      <c r="G58" s="14">
        <v>0.3</v>
      </c>
      <c r="H58" s="14">
        <v>0.3</v>
      </c>
      <c r="I58" s="14">
        <v>0.3</v>
      </c>
      <c r="J58" s="14">
        <v>0.3</v>
      </c>
      <c r="K58" s="14">
        <v>0.3</v>
      </c>
      <c r="L58" s="14">
        <v>0.3</v>
      </c>
      <c r="M58" s="14">
        <v>0.3</v>
      </c>
      <c r="N58" s="14">
        <v>0.3</v>
      </c>
    </row>
    <row r="59" spans="2:14" x14ac:dyDescent="0.25">
      <c r="B59" s="5" t="s">
        <v>56</v>
      </c>
      <c r="C59" s="15">
        <f>C57*C58</f>
        <v>36270</v>
      </c>
      <c r="D59" s="15">
        <f t="shared" ref="D59:N59" si="3">D57*D58</f>
        <v>36270</v>
      </c>
      <c r="E59" s="15">
        <f t="shared" si="3"/>
        <v>36270</v>
      </c>
      <c r="F59" s="15">
        <f t="shared" si="3"/>
        <v>36270</v>
      </c>
      <c r="G59" s="15">
        <f t="shared" si="3"/>
        <v>36270</v>
      </c>
      <c r="H59" s="15">
        <f t="shared" si="3"/>
        <v>36270</v>
      </c>
      <c r="I59" s="15">
        <f t="shared" si="3"/>
        <v>36270</v>
      </c>
      <c r="J59" s="15">
        <f t="shared" si="3"/>
        <v>36270</v>
      </c>
      <c r="K59" s="15">
        <f t="shared" si="3"/>
        <v>36270</v>
      </c>
      <c r="L59" s="15">
        <f t="shared" si="3"/>
        <v>36270</v>
      </c>
      <c r="M59" s="15">
        <f t="shared" si="3"/>
        <v>36270</v>
      </c>
      <c r="N59" s="15">
        <f t="shared" si="3"/>
        <v>36270</v>
      </c>
    </row>
    <row r="61" spans="2:14" x14ac:dyDescent="0.25">
      <c r="B61" s="13" t="s">
        <v>57</v>
      </c>
      <c r="C61" s="13"/>
      <c r="F61" s="13" t="s">
        <v>58</v>
      </c>
      <c r="G61" s="13"/>
      <c r="H61" s="13"/>
      <c r="I61" s="13"/>
      <c r="J61" s="13"/>
      <c r="K61" s="13"/>
      <c r="L61" s="13"/>
    </row>
    <row r="63" spans="2:14" x14ac:dyDescent="0.25">
      <c r="B63" s="6" t="s">
        <v>41</v>
      </c>
      <c r="C63" s="6"/>
      <c r="F63" s="17" t="s">
        <v>41</v>
      </c>
      <c r="G63" s="17"/>
      <c r="H63" s="7" t="s">
        <v>24</v>
      </c>
      <c r="I63" s="7" t="s">
        <v>25</v>
      </c>
      <c r="J63" s="7" t="s">
        <v>26</v>
      </c>
      <c r="K63" s="7" t="s">
        <v>27</v>
      </c>
      <c r="L63" s="7" t="s">
        <v>28</v>
      </c>
    </row>
    <row r="64" spans="2:14" x14ac:dyDescent="0.25">
      <c r="B64" s="5" t="s">
        <v>59</v>
      </c>
      <c r="C64" s="15">
        <f>C42</f>
        <v>3949.4</v>
      </c>
      <c r="F64" s="16" t="s">
        <v>59</v>
      </c>
      <c r="G64" s="16"/>
      <c r="H64" s="15">
        <f>SUM(C42:N42)</f>
        <v>47392.80000000001</v>
      </c>
      <c r="I64" s="15">
        <f>H64*1.16</f>
        <v>54975.648000000008</v>
      </c>
      <c r="J64" s="15">
        <f t="shared" ref="J64:L64" si="4">I64*1.16</f>
        <v>63771.751680000008</v>
      </c>
      <c r="K64" s="15">
        <f t="shared" si="4"/>
        <v>73975.231948800007</v>
      </c>
      <c r="L64" s="15">
        <f t="shared" si="4"/>
        <v>85811.269060608</v>
      </c>
    </row>
    <row r="65" spans="2:14" x14ac:dyDescent="0.25">
      <c r="B65" s="5" t="s">
        <v>50</v>
      </c>
      <c r="C65" s="15">
        <f>C52</f>
        <v>1500</v>
      </c>
      <c r="F65" s="16" t="s">
        <v>50</v>
      </c>
      <c r="G65" s="16"/>
      <c r="H65" s="15">
        <f>SUM(C52:N52)</f>
        <v>18000</v>
      </c>
      <c r="I65" s="15">
        <f t="shared" ref="I65:L66" si="5">H65*1.16</f>
        <v>20880</v>
      </c>
      <c r="J65" s="15">
        <f t="shared" si="5"/>
        <v>24220.799999999999</v>
      </c>
      <c r="K65" s="15">
        <f t="shared" si="5"/>
        <v>28096.127999999997</v>
      </c>
      <c r="L65" s="15">
        <f t="shared" si="5"/>
        <v>32591.508479999993</v>
      </c>
    </row>
    <row r="66" spans="2:14" x14ac:dyDescent="0.25">
      <c r="B66" s="5" t="s">
        <v>60</v>
      </c>
      <c r="C66" s="15">
        <f>C59</f>
        <v>36270</v>
      </c>
      <c r="F66" s="16" t="s">
        <v>60</v>
      </c>
      <c r="G66" s="16"/>
      <c r="H66" s="15">
        <f>SUM(C59:N59)</f>
        <v>435240</v>
      </c>
      <c r="I66" s="15">
        <f t="shared" si="5"/>
        <v>504878.39999999997</v>
      </c>
      <c r="J66" s="15">
        <f t="shared" si="5"/>
        <v>585658.9439999999</v>
      </c>
      <c r="K66" s="15">
        <f t="shared" si="5"/>
        <v>679364.37503999984</v>
      </c>
      <c r="L66" s="15">
        <f t="shared" si="5"/>
        <v>788062.6750463997</v>
      </c>
    </row>
    <row r="67" spans="2:14" x14ac:dyDescent="0.25">
      <c r="B67" s="5" t="s">
        <v>61</v>
      </c>
      <c r="C67" s="15">
        <f>SUM(C64:C66)</f>
        <v>41719.4</v>
      </c>
      <c r="F67" s="16" t="s">
        <v>111</v>
      </c>
      <c r="G67" s="16"/>
      <c r="H67" s="15">
        <f>SUM(H64:H66)</f>
        <v>500632.8</v>
      </c>
      <c r="I67" s="15">
        <f t="shared" ref="I67:L67" si="6">SUM(I64:I66)</f>
        <v>580734.04799999995</v>
      </c>
      <c r="J67" s="15">
        <f t="shared" si="6"/>
        <v>673651.49567999993</v>
      </c>
      <c r="K67" s="15">
        <f t="shared" si="6"/>
        <v>781435.73498879978</v>
      </c>
      <c r="L67" s="15">
        <f t="shared" si="6"/>
        <v>906465.45258700766</v>
      </c>
    </row>
    <row r="69" spans="2:14" x14ac:dyDescent="0.25">
      <c r="B69" s="4" t="s">
        <v>62</v>
      </c>
      <c r="C69" s="4"/>
      <c r="D69" s="4"/>
      <c r="E69" s="4"/>
    </row>
    <row r="71" spans="2:14" x14ac:dyDescent="0.25">
      <c r="B71" t="s">
        <v>63</v>
      </c>
      <c r="C71" s="18">
        <v>0.12071637928120639</v>
      </c>
    </row>
    <row r="72" spans="2:14" x14ac:dyDescent="0.25">
      <c r="B72" t="s">
        <v>64</v>
      </c>
      <c r="C72" s="18">
        <v>0.87928362071879362</v>
      </c>
    </row>
    <row r="73" spans="2:14" x14ac:dyDescent="0.25">
      <c r="B73" t="s">
        <v>65</v>
      </c>
      <c r="C73" s="18">
        <v>1</v>
      </c>
    </row>
    <row r="75" spans="2:14" x14ac:dyDescent="0.25">
      <c r="B75" s="7" t="s">
        <v>66</v>
      </c>
      <c r="C75" s="7" t="s">
        <v>6</v>
      </c>
      <c r="D75" s="7" t="s">
        <v>7</v>
      </c>
      <c r="E75" s="7" t="s">
        <v>8</v>
      </c>
      <c r="F75" s="7" t="s">
        <v>9</v>
      </c>
      <c r="G75" s="7" t="s">
        <v>10</v>
      </c>
      <c r="H75" s="7" t="s">
        <v>11</v>
      </c>
      <c r="I75" s="7" t="s">
        <v>12</v>
      </c>
      <c r="J75" s="7" t="s">
        <v>13</v>
      </c>
      <c r="K75" s="7" t="s">
        <v>14</v>
      </c>
      <c r="L75" s="7" t="s">
        <v>15</v>
      </c>
      <c r="M75" s="7" t="s">
        <v>16</v>
      </c>
      <c r="N75" s="7" t="s">
        <v>17</v>
      </c>
    </row>
    <row r="76" spans="2:14" x14ac:dyDescent="0.25">
      <c r="B76" s="5" t="s">
        <v>67</v>
      </c>
      <c r="C76" s="15">
        <v>5000</v>
      </c>
      <c r="D76" s="15">
        <v>5000</v>
      </c>
      <c r="E76" s="15">
        <v>5000</v>
      </c>
      <c r="F76" s="15">
        <v>5000</v>
      </c>
      <c r="G76" s="15">
        <v>5000</v>
      </c>
      <c r="H76" s="15">
        <v>5000</v>
      </c>
      <c r="I76" s="15">
        <v>5000</v>
      </c>
      <c r="J76" s="15">
        <v>5000</v>
      </c>
      <c r="K76" s="15">
        <v>5000</v>
      </c>
      <c r="L76" s="15">
        <v>5000</v>
      </c>
      <c r="M76" s="15">
        <v>5000</v>
      </c>
      <c r="N76" s="15">
        <v>5000</v>
      </c>
    </row>
    <row r="77" spans="2:14" x14ac:dyDescent="0.25">
      <c r="B77" s="5" t="s">
        <v>68</v>
      </c>
      <c r="C77" s="15">
        <v>36419.4</v>
      </c>
      <c r="D77" s="15">
        <v>36419.4</v>
      </c>
      <c r="E77" s="15">
        <v>36419.4</v>
      </c>
      <c r="F77" s="15">
        <v>36419.4</v>
      </c>
      <c r="G77" s="15">
        <v>36419.4</v>
      </c>
      <c r="H77" s="15">
        <v>36419.4</v>
      </c>
      <c r="I77" s="15">
        <v>36419.4</v>
      </c>
      <c r="J77" s="15">
        <v>36419.4</v>
      </c>
      <c r="K77" s="15">
        <v>36419.4</v>
      </c>
      <c r="L77" s="15">
        <v>36419.4</v>
      </c>
      <c r="M77" s="15">
        <v>36419.4</v>
      </c>
      <c r="N77" s="15">
        <v>36419.4</v>
      </c>
    </row>
    <row r="78" spans="2:14" x14ac:dyDescent="0.25">
      <c r="B78" s="5" t="s">
        <v>69</v>
      </c>
      <c r="C78" s="15">
        <v>41419.4</v>
      </c>
      <c r="D78" s="15">
        <v>41419.4</v>
      </c>
      <c r="E78" s="15">
        <v>41419.4</v>
      </c>
      <c r="F78" s="15">
        <v>41419.4</v>
      </c>
      <c r="G78" s="15">
        <v>41419.4</v>
      </c>
      <c r="H78" s="15">
        <v>41419.4</v>
      </c>
      <c r="I78" s="15">
        <v>41419.4</v>
      </c>
      <c r="J78" s="15">
        <v>41419.4</v>
      </c>
      <c r="K78" s="15">
        <v>41419.4</v>
      </c>
      <c r="L78" s="15">
        <v>41419.4</v>
      </c>
      <c r="M78" s="15">
        <v>41419.4</v>
      </c>
      <c r="N78" s="15">
        <v>41419.4</v>
      </c>
    </row>
    <row r="80" spans="2:14" x14ac:dyDescent="0.25">
      <c r="B80" s="19" t="s">
        <v>70</v>
      </c>
    </row>
    <row r="82" spans="2:14" x14ac:dyDescent="0.25">
      <c r="B82" s="20" t="s">
        <v>66</v>
      </c>
      <c r="C82" s="20" t="s">
        <v>71</v>
      </c>
      <c r="D82" s="20" t="s">
        <v>25</v>
      </c>
      <c r="E82" s="20" t="s">
        <v>26</v>
      </c>
      <c r="F82" s="20" t="s">
        <v>27</v>
      </c>
      <c r="G82" s="20" t="s">
        <v>28</v>
      </c>
    </row>
    <row r="83" spans="2:14" x14ac:dyDescent="0.25">
      <c r="B83" s="15" t="s">
        <v>67</v>
      </c>
      <c r="C83" s="15">
        <v>60000</v>
      </c>
      <c r="D83" s="15">
        <v>69600</v>
      </c>
      <c r="E83" s="15">
        <v>80735.999999999985</v>
      </c>
      <c r="F83" s="15">
        <v>93653.759999999966</v>
      </c>
      <c r="G83" s="15">
        <v>108638.36159999997</v>
      </c>
    </row>
    <row r="84" spans="2:14" x14ac:dyDescent="0.25">
      <c r="B84" s="15" t="s">
        <v>72</v>
      </c>
      <c r="C84" s="15">
        <v>437032.8</v>
      </c>
      <c r="D84" s="15">
        <v>506958.04799999995</v>
      </c>
      <c r="E84" s="15">
        <v>588071.3356799999</v>
      </c>
      <c r="F84" s="15">
        <v>682162.74938879977</v>
      </c>
      <c r="G84" s="15">
        <v>791308.78929100779</v>
      </c>
    </row>
    <row r="85" spans="2:14" x14ac:dyDescent="0.25">
      <c r="B85" s="15" t="s">
        <v>69</v>
      </c>
      <c r="C85" s="15">
        <v>497032.8</v>
      </c>
      <c r="D85" s="15">
        <v>576558.04799999995</v>
      </c>
      <c r="E85" s="15">
        <v>668807.3356799999</v>
      </c>
      <c r="F85" s="15">
        <v>775816.50938879978</v>
      </c>
      <c r="G85" s="15">
        <v>899947.15089100774</v>
      </c>
    </row>
    <row r="87" spans="2:14" x14ac:dyDescent="0.25">
      <c r="B87" s="4" t="s">
        <v>73</v>
      </c>
      <c r="C87" s="4"/>
      <c r="D87" s="4"/>
      <c r="E87" s="4"/>
    </row>
    <row r="89" spans="2:14" x14ac:dyDescent="0.25">
      <c r="B89" s="20" t="s">
        <v>5</v>
      </c>
      <c r="C89" s="22"/>
    </row>
    <row r="90" spans="2:14" x14ac:dyDescent="0.25">
      <c r="B90" s="15" t="s">
        <v>74</v>
      </c>
      <c r="C90" s="15">
        <v>5000</v>
      </c>
    </row>
    <row r="91" spans="2:14" x14ac:dyDescent="0.25">
      <c r="B91" s="15" t="s">
        <v>75</v>
      </c>
      <c r="C91" s="15" t="s">
        <v>76</v>
      </c>
    </row>
    <row r="92" spans="2:14" x14ac:dyDescent="0.25">
      <c r="B92" s="15" t="s">
        <v>77</v>
      </c>
      <c r="C92" s="15">
        <v>5000</v>
      </c>
    </row>
    <row r="94" spans="2:14" x14ac:dyDescent="0.25">
      <c r="B94" s="7" t="s">
        <v>5</v>
      </c>
      <c r="C94" s="7" t="s">
        <v>6</v>
      </c>
      <c r="D94" s="7" t="s">
        <v>7</v>
      </c>
      <c r="E94" s="7" t="s">
        <v>8</v>
      </c>
      <c r="F94" s="7" t="s">
        <v>9</v>
      </c>
      <c r="G94" s="7" t="s">
        <v>10</v>
      </c>
      <c r="H94" s="7" t="s">
        <v>11</v>
      </c>
      <c r="I94" s="7" t="s">
        <v>12</v>
      </c>
      <c r="J94" s="7" t="s">
        <v>13</v>
      </c>
      <c r="K94" s="7" t="s">
        <v>14</v>
      </c>
      <c r="L94" s="7" t="s">
        <v>15</v>
      </c>
      <c r="M94" s="7" t="s">
        <v>16</v>
      </c>
      <c r="N94" s="7" t="s">
        <v>17</v>
      </c>
    </row>
    <row r="95" spans="2:14" x14ac:dyDescent="0.25">
      <c r="B95" s="5" t="s">
        <v>74</v>
      </c>
      <c r="C95" s="15">
        <v>5000</v>
      </c>
      <c r="D95" s="15">
        <v>5000</v>
      </c>
      <c r="E95" s="15">
        <v>5000</v>
      </c>
      <c r="F95" s="15">
        <v>5000</v>
      </c>
      <c r="G95" s="15">
        <v>5000</v>
      </c>
      <c r="H95" s="15">
        <v>5000</v>
      </c>
      <c r="I95" s="15">
        <v>5000</v>
      </c>
      <c r="J95" s="15">
        <v>5000</v>
      </c>
      <c r="K95" s="15">
        <v>5000</v>
      </c>
      <c r="L95" s="15">
        <v>5000</v>
      </c>
      <c r="M95" s="15">
        <v>5000</v>
      </c>
      <c r="N95" s="15">
        <v>5000</v>
      </c>
    </row>
    <row r="96" spans="2:14" x14ac:dyDescent="0.25">
      <c r="B96" s="5" t="s">
        <v>77</v>
      </c>
      <c r="C96" s="15">
        <v>5000</v>
      </c>
      <c r="D96" s="15">
        <v>5000</v>
      </c>
      <c r="E96" s="15">
        <v>5000</v>
      </c>
      <c r="F96" s="15">
        <v>5000</v>
      </c>
      <c r="G96" s="15">
        <v>5000</v>
      </c>
      <c r="H96" s="15">
        <v>5000</v>
      </c>
      <c r="I96" s="15">
        <v>5000</v>
      </c>
      <c r="J96" s="15">
        <v>5000</v>
      </c>
      <c r="K96" s="15">
        <v>5000</v>
      </c>
      <c r="L96" s="15">
        <v>5000</v>
      </c>
      <c r="M96" s="15">
        <v>5000</v>
      </c>
      <c r="N96" s="15">
        <v>5000</v>
      </c>
    </row>
    <row r="98" spans="2:14" x14ac:dyDescent="0.25">
      <c r="B98" s="13" t="s">
        <v>78</v>
      </c>
      <c r="C98" s="13"/>
      <c r="D98" s="13"/>
    </row>
    <row r="100" spans="2:14" x14ac:dyDescent="0.25">
      <c r="B100" s="7" t="s">
        <v>5</v>
      </c>
      <c r="C100" s="7" t="s">
        <v>24</v>
      </c>
      <c r="D100" s="7" t="s">
        <v>25</v>
      </c>
      <c r="E100" s="7" t="s">
        <v>26</v>
      </c>
      <c r="F100" s="7" t="s">
        <v>27</v>
      </c>
      <c r="G100" s="7" t="s">
        <v>28</v>
      </c>
    </row>
    <row r="101" spans="2:14" x14ac:dyDescent="0.25">
      <c r="B101" s="5" t="s">
        <v>79</v>
      </c>
      <c r="C101" s="15">
        <v>60000</v>
      </c>
      <c r="D101" s="15">
        <v>63600</v>
      </c>
      <c r="E101" s="15">
        <v>67416</v>
      </c>
      <c r="F101" s="15">
        <v>71460.960000000006</v>
      </c>
      <c r="G101" s="15">
        <v>75748.617600000012</v>
      </c>
    </row>
    <row r="102" spans="2:14" x14ac:dyDescent="0.25">
      <c r="B102" s="5" t="s">
        <v>80</v>
      </c>
      <c r="C102" s="15">
        <v>5000</v>
      </c>
      <c r="D102" s="15">
        <v>5300</v>
      </c>
      <c r="E102" s="15">
        <v>5618</v>
      </c>
      <c r="F102" s="15">
        <v>5955.0800000000008</v>
      </c>
      <c r="G102" s="15">
        <v>6312.3848000000007</v>
      </c>
    </row>
    <row r="104" spans="2:14" x14ac:dyDescent="0.25">
      <c r="B104" s="4" t="s">
        <v>81</v>
      </c>
      <c r="C104" s="4"/>
      <c r="D104" s="4"/>
      <c r="E104" s="4"/>
    </row>
    <row r="106" spans="2:14" x14ac:dyDescent="0.25">
      <c r="B106" t="s">
        <v>82</v>
      </c>
      <c r="C106">
        <v>5</v>
      </c>
    </row>
    <row r="107" spans="2:14" x14ac:dyDescent="0.25">
      <c r="B107" t="s">
        <v>83</v>
      </c>
      <c r="C107" s="21">
        <v>4725.6000000000004</v>
      </c>
      <c r="D107" s="21">
        <f>C107*C106</f>
        <v>23628</v>
      </c>
    </row>
    <row r="108" spans="2:14" x14ac:dyDescent="0.25">
      <c r="B108" t="s">
        <v>84</v>
      </c>
      <c r="C108" s="21">
        <v>9451.2000000000007</v>
      </c>
      <c r="D108" s="21">
        <f>C108*C106</f>
        <v>47256</v>
      </c>
    </row>
    <row r="109" spans="2:14" x14ac:dyDescent="0.25">
      <c r="B109" t="s">
        <v>85</v>
      </c>
      <c r="C109" s="18">
        <v>0.06</v>
      </c>
    </row>
    <row r="111" spans="2:14" x14ac:dyDescent="0.25">
      <c r="B111" s="20" t="s">
        <v>5</v>
      </c>
      <c r="C111" s="20" t="s">
        <v>6</v>
      </c>
      <c r="D111" s="20" t="s">
        <v>7</v>
      </c>
      <c r="E111" s="20" t="s">
        <v>8</v>
      </c>
      <c r="F111" s="20" t="s">
        <v>9</v>
      </c>
      <c r="G111" s="20" t="s">
        <v>10</v>
      </c>
      <c r="H111" s="20" t="s">
        <v>11</v>
      </c>
      <c r="I111" s="20" t="s">
        <v>12</v>
      </c>
      <c r="J111" s="20" t="s">
        <v>13</v>
      </c>
      <c r="K111" s="20" t="s">
        <v>14</v>
      </c>
      <c r="L111" s="20" t="s">
        <v>15</v>
      </c>
      <c r="M111" s="20" t="s">
        <v>16</v>
      </c>
      <c r="N111" s="20" t="s">
        <v>17</v>
      </c>
    </row>
    <row r="112" spans="2:14" x14ac:dyDescent="0.25">
      <c r="B112" s="15" t="s">
        <v>84</v>
      </c>
      <c r="C112" s="15">
        <v>47256</v>
      </c>
      <c r="D112" s="15">
        <v>47256</v>
      </c>
      <c r="E112" s="15">
        <v>47256</v>
      </c>
      <c r="F112" s="15">
        <v>47256</v>
      </c>
      <c r="G112" s="15">
        <v>47256</v>
      </c>
      <c r="H112" s="15">
        <v>47256</v>
      </c>
      <c r="I112" s="15">
        <v>47256</v>
      </c>
      <c r="J112" s="15">
        <v>47256</v>
      </c>
      <c r="K112" s="15">
        <v>47256</v>
      </c>
      <c r="L112" s="15">
        <v>47256</v>
      </c>
      <c r="M112" s="15">
        <v>47256</v>
      </c>
      <c r="N112" s="15">
        <v>47256</v>
      </c>
    </row>
    <row r="114" spans="2:14" x14ac:dyDescent="0.25">
      <c r="B114" s="20" t="s">
        <v>5</v>
      </c>
      <c r="C114" s="20" t="s">
        <v>24</v>
      </c>
      <c r="D114" s="20" t="s">
        <v>25</v>
      </c>
      <c r="E114" s="20" t="s">
        <v>26</v>
      </c>
      <c r="F114" s="20" t="s">
        <v>27</v>
      </c>
      <c r="G114" s="20" t="s">
        <v>28</v>
      </c>
    </row>
    <row r="115" spans="2:14" x14ac:dyDescent="0.25">
      <c r="B115" s="15" t="s">
        <v>86</v>
      </c>
      <c r="C115" s="15">
        <v>567072</v>
      </c>
      <c r="D115" s="15">
        <v>601096.31999999995</v>
      </c>
      <c r="E115" s="15">
        <v>637162.09919999994</v>
      </c>
      <c r="F115" s="15">
        <v>675391.82515199995</v>
      </c>
      <c r="G115" s="15">
        <v>715915.33466111997</v>
      </c>
    </row>
    <row r="117" spans="2:14" x14ac:dyDescent="0.25">
      <c r="B117" s="4" t="s">
        <v>87</v>
      </c>
      <c r="C117" s="4"/>
      <c r="D117" s="4"/>
      <c r="E117" s="4"/>
    </row>
    <row r="119" spans="2:14" x14ac:dyDescent="0.25">
      <c r="B119" s="20" t="s">
        <v>5</v>
      </c>
      <c r="C119" s="20" t="s">
        <v>6</v>
      </c>
      <c r="D119" s="20" t="s">
        <v>7</v>
      </c>
      <c r="E119" s="20" t="s">
        <v>8</v>
      </c>
      <c r="F119" s="20" t="s">
        <v>9</v>
      </c>
      <c r="G119" s="20" t="s">
        <v>10</v>
      </c>
      <c r="H119" s="20" t="s">
        <v>11</v>
      </c>
      <c r="I119" s="20" t="s">
        <v>12</v>
      </c>
      <c r="J119" s="20" t="s">
        <v>13</v>
      </c>
      <c r="K119" s="20" t="s">
        <v>14</v>
      </c>
      <c r="L119" s="20" t="s">
        <v>15</v>
      </c>
      <c r="M119" s="20" t="s">
        <v>16</v>
      </c>
      <c r="N119" s="20" t="s">
        <v>17</v>
      </c>
    </row>
    <row r="120" spans="2:14" x14ac:dyDescent="0.25">
      <c r="B120" s="15" t="s">
        <v>88</v>
      </c>
      <c r="C120" s="15">
        <v>2000</v>
      </c>
      <c r="D120" s="15">
        <v>2000</v>
      </c>
      <c r="E120" s="15">
        <v>2000</v>
      </c>
      <c r="F120" s="15">
        <v>2000</v>
      </c>
      <c r="G120" s="15">
        <v>2000</v>
      </c>
      <c r="H120" s="15">
        <v>2000</v>
      </c>
      <c r="I120" s="15">
        <v>2000</v>
      </c>
      <c r="J120" s="15">
        <v>2000</v>
      </c>
      <c r="K120" s="15">
        <v>2000</v>
      </c>
      <c r="L120" s="15">
        <v>2000</v>
      </c>
      <c r="M120" s="15">
        <v>2000</v>
      </c>
      <c r="N120" s="15">
        <v>2000</v>
      </c>
    </row>
    <row r="121" spans="2:14" x14ac:dyDescent="0.25">
      <c r="B121" s="15" t="s">
        <v>89</v>
      </c>
      <c r="C121" s="15">
        <v>500</v>
      </c>
      <c r="D121" s="15">
        <v>500</v>
      </c>
      <c r="E121" s="15">
        <v>500</v>
      </c>
      <c r="F121" s="15">
        <v>500</v>
      </c>
      <c r="G121" s="15">
        <v>500</v>
      </c>
      <c r="H121" s="15">
        <v>500</v>
      </c>
      <c r="I121" s="15">
        <v>500</v>
      </c>
      <c r="J121" s="15">
        <v>500</v>
      </c>
      <c r="K121" s="15">
        <v>500</v>
      </c>
      <c r="L121" s="15">
        <v>500</v>
      </c>
      <c r="M121" s="15">
        <v>500</v>
      </c>
      <c r="N121" s="15">
        <v>500</v>
      </c>
    </row>
    <row r="122" spans="2:14" x14ac:dyDescent="0.25">
      <c r="B122" s="15" t="s">
        <v>90</v>
      </c>
      <c r="C122" s="15">
        <v>1200</v>
      </c>
      <c r="D122" s="15">
        <v>1200</v>
      </c>
      <c r="E122" s="15">
        <v>1200</v>
      </c>
      <c r="F122" s="15">
        <v>1200</v>
      </c>
      <c r="G122" s="15">
        <v>1200</v>
      </c>
      <c r="H122" s="15">
        <v>1200</v>
      </c>
      <c r="I122" s="15">
        <v>1200</v>
      </c>
      <c r="J122" s="15">
        <v>1200</v>
      </c>
      <c r="K122" s="15">
        <v>1200</v>
      </c>
      <c r="L122" s="15">
        <v>1200</v>
      </c>
      <c r="M122" s="15">
        <v>1200</v>
      </c>
      <c r="N122" s="15">
        <v>1200</v>
      </c>
    </row>
    <row r="123" spans="2:14" x14ac:dyDescent="0.25">
      <c r="B123" s="15" t="s">
        <v>91</v>
      </c>
      <c r="C123" s="15">
        <v>1500</v>
      </c>
      <c r="D123" s="15">
        <v>1500</v>
      </c>
      <c r="E123" s="15">
        <v>1500</v>
      </c>
      <c r="F123" s="15">
        <v>1500</v>
      </c>
      <c r="G123" s="15">
        <v>1500</v>
      </c>
      <c r="H123" s="15">
        <v>1500</v>
      </c>
      <c r="I123" s="15">
        <v>1500</v>
      </c>
      <c r="J123" s="15">
        <v>1500</v>
      </c>
      <c r="K123" s="15">
        <v>1500</v>
      </c>
      <c r="L123" s="15">
        <v>1500</v>
      </c>
      <c r="M123" s="15">
        <v>1500</v>
      </c>
      <c r="N123" s="15">
        <v>1500</v>
      </c>
    </row>
    <row r="124" spans="2:14" x14ac:dyDescent="0.25">
      <c r="B124" s="15" t="s">
        <v>92</v>
      </c>
      <c r="C124" s="15">
        <v>1500</v>
      </c>
      <c r="D124" s="15">
        <v>1500</v>
      </c>
      <c r="E124" s="15">
        <v>1500</v>
      </c>
      <c r="F124" s="15">
        <v>1500</v>
      </c>
      <c r="G124" s="15">
        <v>1500</v>
      </c>
      <c r="H124" s="15">
        <v>1500</v>
      </c>
      <c r="I124" s="15">
        <v>1500</v>
      </c>
      <c r="J124" s="15">
        <v>1500</v>
      </c>
      <c r="K124" s="15">
        <v>1500</v>
      </c>
      <c r="L124" s="15">
        <v>1500</v>
      </c>
      <c r="M124" s="15">
        <v>1500</v>
      </c>
      <c r="N124" s="15">
        <v>1500</v>
      </c>
    </row>
    <row r="125" spans="2:14" x14ac:dyDescent="0.25">
      <c r="B125" s="15" t="s">
        <v>93</v>
      </c>
      <c r="C125" s="15">
        <v>3860.8333333333326</v>
      </c>
      <c r="D125" s="15">
        <v>3860.8333333333326</v>
      </c>
      <c r="E125" s="15">
        <v>3860.8333333333326</v>
      </c>
      <c r="F125" s="15">
        <v>3860.8333333333326</v>
      </c>
      <c r="G125" s="15">
        <v>3860.8333333333326</v>
      </c>
      <c r="H125" s="15">
        <v>3860.8333333333326</v>
      </c>
      <c r="I125" s="15">
        <v>3860.8333333333326</v>
      </c>
      <c r="J125" s="15">
        <v>3860.8333333333326</v>
      </c>
      <c r="K125" s="15">
        <v>3860.8333333333326</v>
      </c>
      <c r="L125" s="15">
        <v>3860.8333333333326</v>
      </c>
      <c r="M125" s="15">
        <v>3860.8333333333326</v>
      </c>
      <c r="N125" s="15">
        <v>3860.8333333333326</v>
      </c>
    </row>
    <row r="126" spans="2:14" x14ac:dyDescent="0.25">
      <c r="B126" s="15" t="s">
        <v>94</v>
      </c>
      <c r="C126" s="15">
        <v>800</v>
      </c>
      <c r="D126" s="15">
        <v>800</v>
      </c>
      <c r="E126" s="15">
        <v>800</v>
      </c>
      <c r="F126" s="15">
        <v>800</v>
      </c>
      <c r="G126" s="15">
        <v>800</v>
      </c>
      <c r="H126" s="15">
        <v>800</v>
      </c>
      <c r="I126" s="15">
        <v>800</v>
      </c>
      <c r="J126" s="15">
        <v>800</v>
      </c>
      <c r="K126" s="15">
        <v>800</v>
      </c>
      <c r="L126" s="15">
        <v>800</v>
      </c>
      <c r="M126" s="15">
        <v>800</v>
      </c>
      <c r="N126" s="15">
        <v>800</v>
      </c>
    </row>
    <row r="127" spans="2:14" x14ac:dyDescent="0.25">
      <c r="B127" s="15" t="s">
        <v>95</v>
      </c>
      <c r="C127" s="15">
        <v>11360.833333333332</v>
      </c>
      <c r="D127" s="15">
        <v>11360.833333333332</v>
      </c>
      <c r="E127" s="15">
        <v>11360.833333333332</v>
      </c>
      <c r="F127" s="15">
        <v>11360.833333333332</v>
      </c>
      <c r="G127" s="15">
        <v>11360.833333333332</v>
      </c>
      <c r="H127" s="15">
        <v>11360.833333333332</v>
      </c>
      <c r="I127" s="15">
        <v>11360.833333333332</v>
      </c>
      <c r="J127" s="15">
        <v>11360.833333333332</v>
      </c>
      <c r="K127" s="15">
        <v>11360.833333333332</v>
      </c>
      <c r="L127" s="15">
        <v>11360.833333333332</v>
      </c>
      <c r="M127" s="15">
        <v>11360.833333333332</v>
      </c>
      <c r="N127" s="15">
        <v>11360.833333333332</v>
      </c>
    </row>
    <row r="129" spans="2:7" x14ac:dyDescent="0.25">
      <c r="B129" s="20" t="s">
        <v>5</v>
      </c>
      <c r="C129" s="20" t="s">
        <v>24</v>
      </c>
      <c r="D129" s="20" t="s">
        <v>25</v>
      </c>
      <c r="E129" s="20" t="s">
        <v>26</v>
      </c>
      <c r="F129" s="20" t="s">
        <v>27</v>
      </c>
      <c r="G129" s="20" t="s">
        <v>28</v>
      </c>
    </row>
    <row r="130" spans="2:7" x14ac:dyDescent="0.25">
      <c r="B130" s="15" t="s">
        <v>88</v>
      </c>
      <c r="C130" s="15">
        <v>24000</v>
      </c>
      <c r="D130" s="15">
        <v>24856.799999999999</v>
      </c>
      <c r="E130" s="15">
        <v>25744.187760000001</v>
      </c>
      <c r="F130" s="15">
        <v>26663.255263031999</v>
      </c>
      <c r="G130" s="15">
        <v>27615.133475922241</v>
      </c>
    </row>
    <row r="131" spans="2:7" x14ac:dyDescent="0.25">
      <c r="B131" s="15" t="s">
        <v>89</v>
      </c>
      <c r="C131" s="15">
        <v>6000</v>
      </c>
      <c r="D131" s="15">
        <v>6214.2</v>
      </c>
      <c r="E131" s="15">
        <v>6436.0469400000002</v>
      </c>
      <c r="F131" s="15">
        <v>6665.8138157579997</v>
      </c>
      <c r="G131" s="15">
        <v>6903.7833689805602</v>
      </c>
    </row>
    <row r="132" spans="2:7" x14ac:dyDescent="0.25">
      <c r="B132" s="15" t="s">
        <v>90</v>
      </c>
      <c r="C132" s="15">
        <v>14400</v>
      </c>
      <c r="D132" s="15">
        <v>14914.08</v>
      </c>
      <c r="E132" s="15">
        <v>15446.512655999999</v>
      </c>
      <c r="F132" s="15">
        <v>15997.953157819198</v>
      </c>
      <c r="G132" s="15">
        <v>16569.080085553345</v>
      </c>
    </row>
    <row r="133" spans="2:7" x14ac:dyDescent="0.25">
      <c r="B133" s="15" t="s">
        <v>91</v>
      </c>
      <c r="C133" s="15">
        <v>18000</v>
      </c>
      <c r="D133" s="15">
        <v>18642.599999999999</v>
      </c>
      <c r="E133" s="15">
        <v>19308.140819999997</v>
      </c>
      <c r="F133" s="15">
        <v>19997.441447273995</v>
      </c>
      <c r="G133" s="15">
        <v>20711.350106941678</v>
      </c>
    </row>
    <row r="134" spans="2:7" x14ac:dyDescent="0.25">
      <c r="B134" s="15" t="s">
        <v>92</v>
      </c>
      <c r="C134" s="15">
        <v>18000</v>
      </c>
      <c r="D134" s="15">
        <v>18642.599999999999</v>
      </c>
      <c r="E134" s="15">
        <v>19308.140819999997</v>
      </c>
      <c r="F134" s="15">
        <v>19997.441447273995</v>
      </c>
      <c r="G134" s="15">
        <v>20711.350106941678</v>
      </c>
    </row>
    <row r="135" spans="2:7" x14ac:dyDescent="0.25">
      <c r="B135" s="15" t="s">
        <v>93</v>
      </c>
      <c r="C135" s="15">
        <v>46330</v>
      </c>
      <c r="D135" s="15">
        <v>47983.981</v>
      </c>
      <c r="E135" s="15">
        <v>49697.009121700001</v>
      </c>
      <c r="F135" s="15">
        <v>51471.192347344688</v>
      </c>
      <c r="G135" s="15">
        <v>53308.713914144893</v>
      </c>
    </row>
    <row r="136" spans="2:7" x14ac:dyDescent="0.25">
      <c r="B136" s="15" t="s">
        <v>94</v>
      </c>
      <c r="C136" s="15">
        <v>9600</v>
      </c>
      <c r="D136" s="15">
        <v>9942.7199999999993</v>
      </c>
      <c r="E136" s="15">
        <v>10297.675104</v>
      </c>
      <c r="F136" s="15">
        <v>10665.302105212801</v>
      </c>
      <c r="G136" s="15">
        <v>11046.053390368897</v>
      </c>
    </row>
    <row r="137" spans="2:7" x14ac:dyDescent="0.25">
      <c r="B137" s="15" t="s">
        <v>95</v>
      </c>
      <c r="C137" s="15">
        <v>136330</v>
      </c>
      <c r="D137" s="15">
        <v>141196.981</v>
      </c>
      <c r="E137" s="15">
        <v>146237.71322169999</v>
      </c>
      <c r="F137" s="15">
        <v>151458.39958371466</v>
      </c>
      <c r="G137" s="15">
        <v>156865.46444885331</v>
      </c>
    </row>
    <row r="139" spans="2:7" x14ac:dyDescent="0.25">
      <c r="B139" s="4" t="s">
        <v>96</v>
      </c>
      <c r="C139" s="4"/>
      <c r="D139" s="4"/>
      <c r="E139" s="4"/>
    </row>
    <row r="141" spans="2:7" x14ac:dyDescent="0.25">
      <c r="B141" s="7" t="s">
        <v>30</v>
      </c>
      <c r="C141" s="7" t="s">
        <v>97</v>
      </c>
      <c r="D141" s="7" t="s">
        <v>98</v>
      </c>
      <c r="E141" s="7" t="s">
        <v>99</v>
      </c>
    </row>
    <row r="142" spans="2:7" x14ac:dyDescent="0.25">
      <c r="B142" s="5" t="s">
        <v>33</v>
      </c>
      <c r="C142" s="15">
        <v>0.4</v>
      </c>
      <c r="D142" s="15">
        <v>1.5</v>
      </c>
      <c r="E142" s="15">
        <f>C142*C11</f>
        <v>11284</v>
      </c>
    </row>
    <row r="143" spans="2:7" x14ac:dyDescent="0.25">
      <c r="B143" s="5" t="s">
        <v>35</v>
      </c>
      <c r="C143" s="15">
        <v>2</v>
      </c>
      <c r="D143" s="15">
        <v>7</v>
      </c>
      <c r="E143" s="15">
        <f t="shared" ref="E143:E144" si="7">C143*C12</f>
        <v>3454.2857142857142</v>
      </c>
    </row>
    <row r="144" spans="2:7" x14ac:dyDescent="0.25">
      <c r="B144" s="5" t="s">
        <v>37</v>
      </c>
      <c r="C144" s="15">
        <v>8</v>
      </c>
      <c r="D144" s="15">
        <v>25</v>
      </c>
      <c r="E144" s="15">
        <f t="shared" si="7"/>
        <v>1934.4</v>
      </c>
    </row>
    <row r="145" spans="2:5" x14ac:dyDescent="0.25">
      <c r="B145" s="5" t="s">
        <v>100</v>
      </c>
      <c r="C145" s="15"/>
      <c r="D145" s="15"/>
      <c r="E145" s="15">
        <f>SUM(E142:E144)</f>
        <v>16672.685714285715</v>
      </c>
    </row>
    <row r="147" spans="2:5" x14ac:dyDescent="0.25">
      <c r="B147" s="23" t="s">
        <v>101</v>
      </c>
      <c r="C147" s="23"/>
      <c r="D147" s="23"/>
      <c r="E147" s="23"/>
    </row>
    <row r="149" spans="2:5" x14ac:dyDescent="0.25">
      <c r="B149" s="7" t="s">
        <v>102</v>
      </c>
      <c r="C149" s="7" t="s">
        <v>103</v>
      </c>
    </row>
    <row r="150" spans="2:5" x14ac:dyDescent="0.25">
      <c r="B150" s="24" t="s">
        <v>104</v>
      </c>
      <c r="C150" s="25">
        <v>10000</v>
      </c>
    </row>
    <row r="151" spans="2:5" ht="15.75" thickBot="1" x14ac:dyDescent="0.3">
      <c r="B151" s="28" t="s">
        <v>105</v>
      </c>
      <c r="C151" s="29">
        <f>C67</f>
        <v>41719.4</v>
      </c>
    </row>
    <row r="152" spans="2:5" x14ac:dyDescent="0.25">
      <c r="B152" s="26" t="s">
        <v>106</v>
      </c>
      <c r="C152" s="27">
        <f>C150+C151</f>
        <v>51719.4</v>
      </c>
    </row>
    <row r="153" spans="2:5" ht="15.75" thickBot="1" x14ac:dyDescent="0.3">
      <c r="B153" s="28" t="s">
        <v>107</v>
      </c>
      <c r="C153" s="29">
        <v>9000</v>
      </c>
    </row>
    <row r="154" spans="2:5" x14ac:dyDescent="0.25">
      <c r="B154" s="26" t="s">
        <v>108</v>
      </c>
      <c r="C154" s="27">
        <f>C152-C153</f>
        <v>42719.4</v>
      </c>
    </row>
    <row r="155" spans="2:5" ht="15.75" thickBot="1" x14ac:dyDescent="0.3">
      <c r="B155" s="28" t="s">
        <v>109</v>
      </c>
      <c r="C155" s="29">
        <f>E145</f>
        <v>16672.685714285715</v>
      </c>
    </row>
    <row r="156" spans="2:5" x14ac:dyDescent="0.25">
      <c r="B156" s="26" t="s">
        <v>110</v>
      </c>
      <c r="C156" s="27">
        <f>C154+C155</f>
        <v>59392.085714285713</v>
      </c>
    </row>
  </sheetData>
  <mergeCells count="30">
    <mergeCell ref="B87:E87"/>
    <mergeCell ref="B98:D98"/>
    <mergeCell ref="B104:E104"/>
    <mergeCell ref="B117:E117"/>
    <mergeCell ref="B139:E139"/>
    <mergeCell ref="B147:E147"/>
    <mergeCell ref="F63:G63"/>
    <mergeCell ref="F64:G64"/>
    <mergeCell ref="F65:G65"/>
    <mergeCell ref="F66:G66"/>
    <mergeCell ref="F67:G67"/>
    <mergeCell ref="B69:E69"/>
    <mergeCell ref="B35:D35"/>
    <mergeCell ref="B44:D44"/>
    <mergeCell ref="B46:C46"/>
    <mergeCell ref="B54:E54"/>
    <mergeCell ref="B61:C61"/>
    <mergeCell ref="F61:L61"/>
    <mergeCell ref="B26:F26"/>
    <mergeCell ref="C28:D28"/>
    <mergeCell ref="C29:D29"/>
    <mergeCell ref="C30:D30"/>
    <mergeCell ref="C31:D31"/>
    <mergeCell ref="B33:F33"/>
    <mergeCell ref="B2:F2"/>
    <mergeCell ref="B4:C4"/>
    <mergeCell ref="B5:C5"/>
    <mergeCell ref="B6:C6"/>
    <mergeCell ref="B8:F8"/>
    <mergeCell ref="B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Casiano Luz Maria</dc:creator>
  <cp:lastModifiedBy>Morales Casiano Luz Maria</cp:lastModifiedBy>
  <dcterms:created xsi:type="dcterms:W3CDTF">2025-12-14T23:21:23Z</dcterms:created>
  <dcterms:modified xsi:type="dcterms:W3CDTF">2025-12-14T23:59:05Z</dcterms:modified>
</cp:coreProperties>
</file>
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e9b6dbb5fc52919/Documentos/LUZ MARIA/DOC/universidad/"/>
    </mc:Choice>
  </mc:AlternateContent>
  <xr:revisionPtr revIDLastSave="0" documentId="8_{1827E525-D276-47EA-B813-4EB5143E372B}" xr6:coauthVersionLast="47" xr6:coauthVersionMax="47" xr10:uidLastSave="{00000000-0000-0000-0000-000000000000}"/>
  <bookViews>
    <workbookView xWindow="-120" yWindow="-120" windowWidth="20730" windowHeight="11160" xr2:uid="{C5770913-7F7C-4BFC-BA7F-081450BC94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9" i="1" l="1"/>
  <c r="N38" i="1"/>
  <c r="N37" i="1"/>
  <c r="N36" i="1"/>
  <c r="N40" i="1" s="1"/>
  <c r="N58" i="1" s="1"/>
  <c r="N35" i="1"/>
  <c r="C78" i="1"/>
  <c r="C77" i="1"/>
  <c r="D76" i="1"/>
  <c r="C76" i="1"/>
  <c r="E7" i="1"/>
  <c r="E9" i="1" s="1"/>
  <c r="E13" i="1" s="1"/>
  <c r="C23" i="1" s="1"/>
  <c r="N60" i="1" l="1"/>
  <c r="N59" i="1"/>
  <c r="C29" i="1"/>
  <c r="C27" i="1"/>
  <c r="C28" i="1"/>
  <c r="C30" i="1"/>
  <c r="C26" i="1"/>
  <c r="N81" i="1" l="1"/>
  <c r="N62" i="1"/>
  <c r="N83" i="1" s="1"/>
  <c r="N63" i="1"/>
  <c r="N84" i="1" s="1"/>
  <c r="N61" i="1"/>
  <c r="N82" i="1" s="1"/>
  <c r="N85" i="1" s="1"/>
  <c r="M39" i="1"/>
  <c r="K39" i="1"/>
  <c r="I39" i="1"/>
  <c r="G39" i="1"/>
  <c r="E39" i="1"/>
  <c r="C39" i="1"/>
  <c r="E30" i="1"/>
  <c r="F30" i="1" s="1"/>
  <c r="G30" i="1" s="1"/>
  <c r="H30" i="1" s="1"/>
  <c r="I30" i="1" s="1"/>
  <c r="J30" i="1" s="1"/>
  <c r="J39" i="1"/>
  <c r="F39" i="1"/>
  <c r="L39" i="1"/>
  <c r="H39" i="1"/>
  <c r="D39" i="1"/>
  <c r="L36" i="1"/>
  <c r="J36" i="1"/>
  <c r="H36" i="1"/>
  <c r="F36" i="1"/>
  <c r="D36" i="1"/>
  <c r="K36" i="1"/>
  <c r="G36" i="1"/>
  <c r="C36" i="1"/>
  <c r="M36" i="1"/>
  <c r="I36" i="1"/>
  <c r="E36" i="1"/>
  <c r="E27" i="1"/>
  <c r="F27" i="1" s="1"/>
  <c r="G27" i="1" s="1"/>
  <c r="H27" i="1" s="1"/>
  <c r="I27" i="1" s="1"/>
  <c r="J27" i="1" s="1"/>
  <c r="M35" i="1"/>
  <c r="K35" i="1"/>
  <c r="I35" i="1"/>
  <c r="G35" i="1"/>
  <c r="E35" i="1"/>
  <c r="C35" i="1"/>
  <c r="E26" i="1"/>
  <c r="F26" i="1" s="1"/>
  <c r="G26" i="1" s="1"/>
  <c r="H26" i="1" s="1"/>
  <c r="I26" i="1" s="1"/>
  <c r="J26" i="1" s="1"/>
  <c r="J35" i="1"/>
  <c r="F35" i="1"/>
  <c r="L35" i="1"/>
  <c r="H35" i="1"/>
  <c r="D35" i="1"/>
  <c r="M37" i="1"/>
  <c r="K37" i="1"/>
  <c r="I37" i="1"/>
  <c r="G37" i="1"/>
  <c r="E37" i="1"/>
  <c r="C37" i="1"/>
  <c r="E28" i="1"/>
  <c r="F28" i="1" s="1"/>
  <c r="G28" i="1" s="1"/>
  <c r="H28" i="1" s="1"/>
  <c r="I28" i="1" s="1"/>
  <c r="J28" i="1" s="1"/>
  <c r="L37" i="1"/>
  <c r="H37" i="1"/>
  <c r="D37" i="1"/>
  <c r="J37" i="1"/>
  <c r="F37" i="1"/>
  <c r="L38" i="1"/>
  <c r="J38" i="1"/>
  <c r="H38" i="1"/>
  <c r="F38" i="1"/>
  <c r="D38" i="1"/>
  <c r="M38" i="1"/>
  <c r="I38" i="1"/>
  <c r="E38" i="1"/>
  <c r="E29" i="1"/>
  <c r="F29" i="1" s="1"/>
  <c r="G29" i="1" s="1"/>
  <c r="H29" i="1" s="1"/>
  <c r="I29" i="1" s="1"/>
  <c r="J29" i="1" s="1"/>
  <c r="K38" i="1"/>
  <c r="G38" i="1"/>
  <c r="C38" i="1"/>
  <c r="D48" i="1" s="1"/>
  <c r="E48" i="1" s="1"/>
  <c r="F48" i="1" s="1"/>
  <c r="G48" i="1" s="1"/>
  <c r="H48" i="1" s="1"/>
  <c r="D47" i="1" l="1"/>
  <c r="E47" i="1" s="1"/>
  <c r="F47" i="1" s="1"/>
  <c r="G47" i="1" s="1"/>
  <c r="H47" i="1" s="1"/>
  <c r="D40" i="1"/>
  <c r="D58" i="1" s="1"/>
  <c r="L40" i="1"/>
  <c r="L58" i="1" s="1"/>
  <c r="J40" i="1"/>
  <c r="J58" i="1" s="1"/>
  <c r="D45" i="1"/>
  <c r="E45" i="1" s="1"/>
  <c r="C40" i="1"/>
  <c r="G40" i="1"/>
  <c r="G58" i="1" s="1"/>
  <c r="K40" i="1"/>
  <c r="K58" i="1" s="1"/>
  <c r="D46" i="1"/>
  <c r="E46" i="1" s="1"/>
  <c r="F46" i="1" s="1"/>
  <c r="G46" i="1" s="1"/>
  <c r="H46" i="1" s="1"/>
  <c r="D49" i="1"/>
  <c r="E49" i="1" s="1"/>
  <c r="F49" i="1" s="1"/>
  <c r="G49" i="1" s="1"/>
  <c r="H49" i="1" s="1"/>
  <c r="H40" i="1"/>
  <c r="H58" i="1" s="1"/>
  <c r="F40" i="1"/>
  <c r="F58" i="1" s="1"/>
  <c r="E40" i="1"/>
  <c r="E58" i="1" s="1"/>
  <c r="I40" i="1"/>
  <c r="I58" i="1" s="1"/>
  <c r="M40" i="1"/>
  <c r="M58" i="1" s="1"/>
  <c r="I59" i="1" l="1"/>
  <c r="I60" i="1"/>
  <c r="F60" i="1"/>
  <c r="F59" i="1"/>
  <c r="K59" i="1"/>
  <c r="K60" i="1"/>
  <c r="C58" i="1"/>
  <c r="D50" i="1"/>
  <c r="C66" i="1" s="1"/>
  <c r="J60" i="1"/>
  <c r="J59" i="1"/>
  <c r="D60" i="1"/>
  <c r="D59" i="1"/>
  <c r="M59" i="1"/>
  <c r="M60" i="1"/>
  <c r="E59" i="1"/>
  <c r="E60" i="1"/>
  <c r="H60" i="1"/>
  <c r="H59" i="1"/>
  <c r="G59" i="1"/>
  <c r="G60" i="1"/>
  <c r="E50" i="1"/>
  <c r="D66" i="1" s="1"/>
  <c r="F45" i="1"/>
  <c r="L60" i="1"/>
  <c r="L59" i="1"/>
  <c r="F50" i="1" l="1"/>
  <c r="E66" i="1" s="1"/>
  <c r="G45" i="1"/>
  <c r="G63" i="1"/>
  <c r="G84" i="1" s="1"/>
  <c r="G61" i="1"/>
  <c r="G82" i="1" s="1"/>
  <c r="G81" i="1"/>
  <c r="G62" i="1"/>
  <c r="G83" i="1" s="1"/>
  <c r="E63" i="1"/>
  <c r="E84" i="1" s="1"/>
  <c r="E61" i="1"/>
  <c r="E82" i="1" s="1"/>
  <c r="E81" i="1"/>
  <c r="E62" i="1"/>
  <c r="E83" i="1" s="1"/>
  <c r="M63" i="1"/>
  <c r="M84" i="1" s="1"/>
  <c r="M61" i="1"/>
  <c r="M82" i="1" s="1"/>
  <c r="M81" i="1"/>
  <c r="M62" i="1"/>
  <c r="M83" i="1" s="1"/>
  <c r="C67" i="1"/>
  <c r="C68" i="1"/>
  <c r="K63" i="1"/>
  <c r="K84" i="1" s="1"/>
  <c r="K61" i="1"/>
  <c r="K82" i="1" s="1"/>
  <c r="K81" i="1"/>
  <c r="K62" i="1"/>
  <c r="K83" i="1" s="1"/>
  <c r="I63" i="1"/>
  <c r="I84" i="1" s="1"/>
  <c r="I61" i="1"/>
  <c r="I82" i="1" s="1"/>
  <c r="I81" i="1"/>
  <c r="I62" i="1"/>
  <c r="I83" i="1" s="1"/>
  <c r="L81" i="1"/>
  <c r="L62" i="1"/>
  <c r="L83" i="1" s="1"/>
  <c r="L61" i="1"/>
  <c r="L82" i="1" s="1"/>
  <c r="L63" i="1"/>
  <c r="L84" i="1" s="1"/>
  <c r="D68" i="1"/>
  <c r="D67" i="1"/>
  <c r="H81" i="1"/>
  <c r="H62" i="1"/>
  <c r="H83" i="1" s="1"/>
  <c r="H61" i="1"/>
  <c r="H82" i="1" s="1"/>
  <c r="H63" i="1"/>
  <c r="H84" i="1" s="1"/>
  <c r="D81" i="1"/>
  <c r="D62" i="1"/>
  <c r="D83" i="1" s="1"/>
  <c r="D61" i="1"/>
  <c r="D82" i="1" s="1"/>
  <c r="D63" i="1"/>
  <c r="D84" i="1" s="1"/>
  <c r="J81" i="1"/>
  <c r="J62" i="1"/>
  <c r="J83" i="1" s="1"/>
  <c r="J63" i="1"/>
  <c r="J84" i="1" s="1"/>
  <c r="J61" i="1"/>
  <c r="J82" i="1" s="1"/>
  <c r="J85" i="1" s="1"/>
  <c r="C59" i="1"/>
  <c r="C60" i="1"/>
  <c r="F81" i="1"/>
  <c r="F62" i="1"/>
  <c r="F83" i="1" s="1"/>
  <c r="F63" i="1"/>
  <c r="F84" i="1" s="1"/>
  <c r="F61" i="1"/>
  <c r="F82" i="1" s="1"/>
  <c r="F85" i="1" s="1"/>
  <c r="C63" i="1" l="1"/>
  <c r="C84" i="1" s="1"/>
  <c r="C61" i="1"/>
  <c r="C82" i="1" s="1"/>
  <c r="C81" i="1"/>
  <c r="C62" i="1"/>
  <c r="C83" i="1" s="1"/>
  <c r="I85" i="1"/>
  <c r="K85" i="1"/>
  <c r="C88" i="1"/>
  <c r="C71" i="1"/>
  <c r="C91" i="1" s="1"/>
  <c r="C69" i="1"/>
  <c r="C89" i="1" s="1"/>
  <c r="C70" i="1"/>
  <c r="C90" i="1" s="1"/>
  <c r="M85" i="1"/>
  <c r="E85" i="1"/>
  <c r="G85" i="1"/>
  <c r="G50" i="1"/>
  <c r="F66" i="1" s="1"/>
  <c r="H45" i="1"/>
  <c r="H50" i="1" s="1"/>
  <c r="G66" i="1" s="1"/>
  <c r="D85" i="1"/>
  <c r="H85" i="1"/>
  <c r="D70" i="1"/>
  <c r="D90" i="1" s="1"/>
  <c r="D69" i="1"/>
  <c r="D89" i="1" s="1"/>
  <c r="D88" i="1"/>
  <c r="D71" i="1"/>
  <c r="D91" i="1" s="1"/>
  <c r="L85" i="1"/>
  <c r="E67" i="1"/>
  <c r="E68" i="1"/>
  <c r="E88" i="1" l="1"/>
  <c r="E71" i="1"/>
  <c r="E91" i="1" s="1"/>
  <c r="E69" i="1"/>
  <c r="E89" i="1" s="1"/>
  <c r="E70" i="1"/>
  <c r="E90" i="1" s="1"/>
  <c r="F68" i="1"/>
  <c r="F67" i="1"/>
  <c r="C85" i="1"/>
  <c r="D92" i="1"/>
  <c r="G67" i="1"/>
  <c r="G68" i="1"/>
  <c r="C92" i="1"/>
  <c r="G88" i="1" l="1"/>
  <c r="G71" i="1"/>
  <c r="G91" i="1" s="1"/>
  <c r="G69" i="1"/>
  <c r="G89" i="1" s="1"/>
  <c r="G70" i="1"/>
  <c r="G90" i="1" s="1"/>
  <c r="F70" i="1"/>
  <c r="F90" i="1" s="1"/>
  <c r="F88" i="1"/>
  <c r="F71" i="1"/>
  <c r="F91" i="1" s="1"/>
  <c r="F69" i="1"/>
  <c r="F89" i="1" s="1"/>
  <c r="F92" i="1" s="1"/>
  <c r="E92" i="1"/>
  <c r="G92" i="1" l="1"/>
</calcChain>
</file>

<file path=xl/sharedStrings.xml><?xml version="1.0" encoding="utf-8"?>
<sst xmlns="http://schemas.openxmlformats.org/spreadsheetml/2006/main" count="161" uniqueCount="88">
  <si>
    <t>Estimación en volumen de ventas</t>
  </si>
  <si>
    <t>Proyección de unidades para el mes 1</t>
  </si>
  <si>
    <t>Base de datos de alumnos (aprox.)</t>
  </si>
  <si>
    <t>Categoría</t>
  </si>
  <si>
    <t>% del consumo</t>
  </si>
  <si>
    <t>Unidades estimadas</t>
  </si>
  <si>
    <t>Personal administrativo (aprox.)</t>
  </si>
  <si>
    <t>Impresiones B/N</t>
  </si>
  <si>
    <t>Alta rotación</t>
  </si>
  <si>
    <t>Impresiones color</t>
  </si>
  <si>
    <t>Media</t>
  </si>
  <si>
    <t>Alumnos potecialmente compradores</t>
  </si>
  <si>
    <t>Engargolados/plastificado</t>
  </si>
  <si>
    <t>Media-baja</t>
  </si>
  <si>
    <t>Personal potencialmente comprador</t>
  </si>
  <si>
    <t>Papelería básica</t>
  </si>
  <si>
    <t>Alta</t>
  </si>
  <si>
    <t>Total de consumidores potenciales mes 1</t>
  </si>
  <si>
    <t>Material especializado</t>
  </si>
  <si>
    <t>Baja</t>
  </si>
  <si>
    <t>Punto medio promedio de compra</t>
  </si>
  <si>
    <t>Tasa de crecimiento anual en volumen</t>
  </si>
  <si>
    <t>Incremento anual en precios</t>
  </si>
  <si>
    <t>Ventas promedio mes 1</t>
  </si>
  <si>
    <t>La inflación en México (INEGI, 2020–2024) promedió:</t>
  </si>
  <si>
    <t>Porcentaje de ventas de contado y crédito</t>
  </si>
  <si>
    <t>Plazos de cuentas por cobrar (políticas):</t>
  </si>
  <si>
    <r>
      <t>6.3% anual</t>
    </r>
    <r>
      <rPr>
        <sz val="11"/>
        <color theme="1"/>
        <rFont val="Aptos Narrow"/>
        <family val="2"/>
        <scheme val="minor"/>
      </rPr>
      <t xml:space="preserve"> en productos escolares</t>
    </r>
  </si>
  <si>
    <t>Contado</t>
  </si>
  <si>
    <r>
      <t>7.0% anual</t>
    </r>
    <r>
      <rPr>
        <sz val="11"/>
        <color theme="1"/>
        <rFont val="Aptos Narrow"/>
        <family val="2"/>
        <scheme val="minor"/>
      </rPr>
      <t xml:space="preserve"> en papel y derivados</t>
    </r>
  </si>
  <si>
    <t>Crédito</t>
  </si>
  <si>
    <t>Estudiantes</t>
  </si>
  <si>
    <t>7 días</t>
  </si>
  <si>
    <r>
      <t>5.5% anual</t>
    </r>
    <r>
      <rPr>
        <sz val="11"/>
        <color theme="1"/>
        <rFont val="Aptos Narrow"/>
        <family val="2"/>
        <scheme val="minor"/>
      </rPr>
      <t xml:space="preserve"> servicios de impresión</t>
    </r>
  </si>
  <si>
    <t xml:space="preserve">Estudiantes </t>
  </si>
  <si>
    <t xml:space="preserve">Académicos/administrativos </t>
  </si>
  <si>
    <t>15 días</t>
  </si>
  <si>
    <t>Por eso es que el 6% es perfecto</t>
  </si>
  <si>
    <t>Academicos</t>
  </si>
  <si>
    <t xml:space="preserve">Institucionales </t>
  </si>
  <si>
    <t>30 días</t>
  </si>
  <si>
    <t>Institucionales</t>
  </si>
  <si>
    <r>
      <t>Promedio ponderado:</t>
    </r>
    <r>
      <rPr>
        <sz val="11"/>
        <color theme="1"/>
        <rFont val="Aptos Narrow"/>
        <family val="2"/>
        <scheme val="minor"/>
      </rPr>
      <t xml:space="preserve"> 9–12 días</t>
    </r>
  </si>
  <si>
    <t>Ventas estimadas</t>
  </si>
  <si>
    <t>Estimación mes 1</t>
  </si>
  <si>
    <t>Rubro</t>
  </si>
  <si>
    <t>Ingresos por categoría</t>
  </si>
  <si>
    <t>Precio unitario</t>
  </si>
  <si>
    <t>Unidades mensuales</t>
  </si>
  <si>
    <t>Unidades anuales</t>
  </si>
  <si>
    <t>Unidades anuales año 2(10%)</t>
  </si>
  <si>
    <t>Unidades anuales año 3</t>
  </si>
  <si>
    <t>Unidades anuales año 4</t>
  </si>
  <si>
    <t>Unidades anuales año 5</t>
  </si>
  <si>
    <t>Ingresos estimados mensuales</t>
  </si>
  <si>
    <t>Año 1</t>
  </si>
  <si>
    <t xml:space="preserve">Enero 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</si>
  <si>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</si>
  <si>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</si>
  <si>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</si>
  <si>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</si>
  <si>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</si>
  <si>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</si>
  <si>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</si>
  <si>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</si>
  <si>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</si>
  <si>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</si>
  <si>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Ingreos Mensuales</t>
  </si>
  <si>
    <t>Ingresos estimados anuales</t>
  </si>
  <si>
    <t>Año 2</t>
  </si>
  <si>
    <t>Año 3</t>
  </si>
  <si>
    <t>Año 4</t>
  </si>
  <si>
    <t>Año 5</t>
  </si>
  <si>
    <t>Impresiones a color</t>
  </si>
  <si>
    <t>Engargolado / plastificado</t>
  </si>
  <si>
    <t>Ingresos Anuales</t>
  </si>
  <si>
    <t>Presupuesto de ventas a contado y a crédito</t>
  </si>
  <si>
    <r>
      <t>Contado:</t>
    </r>
    <r>
      <rPr>
        <sz val="11"/>
        <color theme="1"/>
        <rFont val="Aptos Narrow"/>
        <family val="2"/>
        <scheme val="minor"/>
      </rPr>
      <t xml:space="preserve"> 88% del total de ventas</t>
    </r>
  </si>
  <si>
    <r>
      <t>Crédito:</t>
    </r>
    <r>
      <rPr>
        <sz val="11"/>
        <color theme="1"/>
        <rFont val="Aptos Narrow"/>
        <family val="2"/>
        <scheme val="minor"/>
      </rPr>
      <t xml:space="preserve"> 12% del total</t>
    </r>
    <r>
      <rPr>
        <b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de ventas</t>
    </r>
  </si>
  <si>
    <t xml:space="preserve">Contado </t>
  </si>
  <si>
    <t>Ingreos Anuales</t>
  </si>
  <si>
    <t>Presupuesto de Cuentas por Cobrar</t>
  </si>
  <si>
    <t xml:space="preserve">Plazos </t>
  </si>
  <si>
    <t xml:space="preserve">Estudiantes  7 días </t>
  </si>
  <si>
    <t>Academicos 15 días</t>
  </si>
  <si>
    <t>Institucional 30 días</t>
  </si>
  <si>
    <t xml:space="preserve">Total CXC 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</si>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</sst>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2" fillId="2" borderId="1" xfId="0" applyFont="1" applyFill="1" applyBorder="1" applyAlignment="1">
      <alignment horizontal="center" vertical="top" wrapText="1"/>
    </xf>
    <xf numFmtId="0" fontId="0" fillId="0" borderId="0" xfId="0" applyAlignment="1">
      <alignment horizontal="left"/>
    </xf>
    <xf numFmtId="0" fontId="0" fillId="0" borderId="1" xfId="0" applyBorder="1" applyAlignment="1">
      <alignment vertical="top" wrapText="1"/>
    </xf>
    <xf numFmtId="9" fontId="0" fillId="0" borderId="0" xfId="0" applyNumberFormat="1"/>
    <xf numFmtId="44" fontId="0" fillId="0" borderId="0" xfId="1" applyFont="1"/>
    <xf numFmtId="44" fontId="0" fillId="0" borderId="0" xfId="0" applyNumberFormat="1"/>
    <xf numFmtId="0" fontId="0" fillId="2" borderId="1" xfId="0" applyFill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indent="1"/>
    </xf>
    <xf numFmtId="0" fontId="0" fillId="0" borderId="1" xfId="0" applyBorder="1"/>
    <xf numFmtId="9" fontId="0" fillId="0" borderId="1" xfId="0" applyNumberFormat="1" applyBorder="1"/>
    <xf numFmtId="0" fontId="0" fillId="0" borderId="0" xfId="0" applyAlignment="1">
      <alignment horizontal="left" vertical="center" indent="1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2" borderId="1" xfId="0" applyFont="1" applyFill="1" applyBorder="1"/>
    <xf numFmtId="44" fontId="0" fillId="0" borderId="1" xfId="0" applyNumberFormat="1" applyBorder="1"/>
    <xf numFmtId="1" fontId="0" fillId="0" borderId="0" xfId="0" applyNumberFormat="1"/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2" xfId="0" applyBorder="1" applyAlignment="1">
      <alignment vertical="top" wrapText="1"/>
    </xf>
    <xf numFmtId="44" fontId="0" fillId="0" borderId="2" xfId="0" applyNumberFormat="1" applyBorder="1"/>
    <xf numFmtId="0" fontId="0" fillId="0" borderId="3" xfId="0" applyBorder="1" applyAlignment="1">
      <alignment vertical="top" wrapText="1"/>
    </xf>
    <xf numFmtId="44" fontId="0" fillId="0" borderId="3" xfId="0" applyNumberFormat="1" applyBorder="1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2" fillId="0" borderId="0" xfId="0" applyFont="1" applyAlignment="1">
      <alignment vertical="center"/>
    </xf>
    <xf numFmtId="0" fontId="0" fillId="0" borderId="1" xfId="0" applyBorder="1" applyAlignment="1">
      <alignment horizontal="left" vertical="center" indent="1"/>
    </xf>
    <xf numFmtId="0" fontId="2" fillId="2" borderId="4" xfId="0" applyFont="1" applyFill="1" applyBorder="1" applyAlignment="1">
      <alignment horizontal="center"/>
    </xf>
    <xf numFmtId="44" fontId="0" fillId="0" borderId="1" xfId="0" applyNumberFormat="1" applyBorder="1" applyAlignment="1">
      <alignment vertical="top"/>
    </xf>
    <xf numFmtId="44" fontId="0" fillId="0" borderId="1" xfId="1" applyFont="1" applyBorder="1" applyAlignment="1">
      <alignment vertical="top"/>
    </xf>
    <xf numFmtId="1" fontId="0" fillId="0" borderId="1" xfId="1" applyNumberFormat="1" applyFont="1" applyBorder="1" applyAlignment="1">
      <alignment vertical="top"/>
    </xf>
    <xf numFmtId="0" fontId="0" fillId="0" borderId="0" xfId="0" applyAlignment="1">
      <alignment vertical="top"/>
    </xf>
    <xf numFmtId="44" fontId="0" fillId="0" borderId="2" xfId="0" applyNumberFormat="1" applyBorder="1" applyAlignment="1">
      <alignment vertical="top"/>
    </xf>
    <xf numFmtId="44" fontId="0" fillId="0" borderId="3" xfId="0" applyNumberFormat="1" applyBorder="1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/>
    </xf>
    <xf numFmtId="9" fontId="0" fillId="0" borderId="1" xfId="0" applyNumberFormat="1" applyBorder="1" applyAlignment="1">
      <alignment vertical="top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E19C3-F01A-4D96-9D11-577173A58D26}">
  <dimension ref="B2:N92"/>
  <sheetViews>
    <sheetView tabSelected="1" topLeftCell="A28" zoomScale="70" zoomScaleNormal="70" workbookViewId="0">
      <selection activeCell="D17" sqref="D17"/>
    </sheetView>
  </sheetViews>
  <sheetFormatPr baseColWidth="10" defaultRowHeight="15" x14ac:dyDescent="0.25"/>
  <cols>
    <col min="2" max="2" width="38.7109375" customWidth="1"/>
    <col min="3" max="3" width="27.42578125" bestFit="1" customWidth="1"/>
    <col min="4" max="4" width="18.28515625" bestFit="1" customWidth="1"/>
    <col min="5" max="5" width="25.28515625" bestFit="1" customWidth="1"/>
    <col min="6" max="6" width="22.140625" bestFit="1" customWidth="1"/>
    <col min="7" max="7" width="26.42578125" customWidth="1"/>
    <col min="8" max="8" width="20.7109375" customWidth="1"/>
    <col min="9" max="9" width="23.7109375" customWidth="1"/>
    <col min="10" max="10" width="21.5703125" customWidth="1"/>
    <col min="11" max="14" width="15.28515625" bestFit="1" customWidth="1"/>
  </cols>
  <sheetData>
    <row r="2" spans="2:10" x14ac:dyDescent="0.25">
      <c r="B2" s="1" t="s">
        <v>0</v>
      </c>
      <c r="C2" s="1"/>
      <c r="D2" s="1"/>
      <c r="E2" s="1"/>
      <c r="G2" s="1" t="s">
        <v>1</v>
      </c>
      <c r="H2" s="1"/>
      <c r="I2" s="1"/>
      <c r="J2" s="2"/>
    </row>
    <row r="4" spans="2:10" s="38" customFormat="1" x14ac:dyDescent="0.25">
      <c r="B4" s="41" t="s">
        <v>2</v>
      </c>
      <c r="C4" s="41"/>
      <c r="D4" s="41"/>
      <c r="E4" s="38">
        <v>1500</v>
      </c>
      <c r="G4" s="3" t="s">
        <v>3</v>
      </c>
      <c r="H4" s="3" t="s">
        <v>4</v>
      </c>
      <c r="I4" s="3" t="s">
        <v>5</v>
      </c>
    </row>
    <row r="5" spans="2:10" s="38" customFormat="1" x14ac:dyDescent="0.25">
      <c r="B5" s="42" t="s">
        <v>6</v>
      </c>
      <c r="C5" s="42"/>
      <c r="D5" s="42"/>
      <c r="E5" s="38">
        <v>70</v>
      </c>
      <c r="G5" s="5" t="s">
        <v>7</v>
      </c>
      <c r="H5" s="43">
        <v>0.35</v>
      </c>
      <c r="I5" s="5" t="s">
        <v>8</v>
      </c>
    </row>
    <row r="6" spans="2:10" s="38" customFormat="1" x14ac:dyDescent="0.25">
      <c r="G6" s="5" t="s">
        <v>9</v>
      </c>
      <c r="H6" s="43">
        <v>0.1</v>
      </c>
      <c r="I6" s="5" t="s">
        <v>10</v>
      </c>
    </row>
    <row r="7" spans="2:10" s="38" customFormat="1" x14ac:dyDescent="0.25">
      <c r="B7" s="42" t="s">
        <v>11</v>
      </c>
      <c r="C7" s="42"/>
      <c r="D7" s="42"/>
      <c r="E7" s="38">
        <f>E4*25%</f>
        <v>375</v>
      </c>
      <c r="G7" s="5" t="s">
        <v>12</v>
      </c>
      <c r="H7" s="43">
        <v>0.05</v>
      </c>
      <c r="I7" s="5" t="s">
        <v>13</v>
      </c>
    </row>
    <row r="8" spans="2:10" s="38" customFormat="1" x14ac:dyDescent="0.25">
      <c r="B8" s="42" t="s">
        <v>14</v>
      </c>
      <c r="C8" s="42"/>
      <c r="D8" s="42"/>
      <c r="E8" s="38">
        <v>28</v>
      </c>
      <c r="G8" s="5" t="s">
        <v>15</v>
      </c>
      <c r="H8" s="43">
        <v>0.4</v>
      </c>
      <c r="I8" s="5" t="s">
        <v>16</v>
      </c>
    </row>
    <row r="9" spans="2:10" s="38" customFormat="1" x14ac:dyDescent="0.25">
      <c r="B9" s="42" t="s">
        <v>17</v>
      </c>
      <c r="C9" s="42"/>
      <c r="D9" s="42"/>
      <c r="E9" s="38">
        <f>E7+E8</f>
        <v>403</v>
      </c>
      <c r="G9" s="5" t="s">
        <v>18</v>
      </c>
      <c r="H9" s="43">
        <v>0.1</v>
      </c>
      <c r="I9" s="5" t="s">
        <v>19</v>
      </c>
    </row>
    <row r="10" spans="2:10" x14ac:dyDescent="0.25">
      <c r="J10" s="6"/>
    </row>
    <row r="11" spans="2:10" x14ac:dyDescent="0.25">
      <c r="B11" s="4" t="s">
        <v>20</v>
      </c>
      <c r="C11" s="4"/>
      <c r="D11" s="4"/>
      <c r="E11" s="7">
        <v>300</v>
      </c>
      <c r="G11" t="s">
        <v>21</v>
      </c>
      <c r="H11" s="6">
        <v>0.1</v>
      </c>
    </row>
    <row r="12" spans="2:10" x14ac:dyDescent="0.25">
      <c r="G12" t="s">
        <v>22</v>
      </c>
      <c r="H12" s="6">
        <v>0.06</v>
      </c>
    </row>
    <row r="13" spans="2:10" x14ac:dyDescent="0.25">
      <c r="B13" s="4" t="s">
        <v>23</v>
      </c>
      <c r="C13" s="4"/>
      <c r="D13" s="4"/>
      <c r="E13" s="8">
        <f>E9*E11</f>
        <v>120900</v>
      </c>
    </row>
    <row r="14" spans="2:10" x14ac:dyDescent="0.25">
      <c r="G14" t="s">
        <v>24</v>
      </c>
      <c r="I14" s="9" t="s">
        <v>25</v>
      </c>
      <c r="J14" s="9"/>
    </row>
    <row r="15" spans="2:10" x14ac:dyDescent="0.25">
      <c r="B15" s="10" t="s">
        <v>26</v>
      </c>
      <c r="C15" s="10"/>
      <c r="D15" s="10"/>
      <c r="E15" s="10"/>
      <c r="F15" s="10"/>
      <c r="G15" s="11" t="s">
        <v>27</v>
      </c>
      <c r="I15" s="12" t="s">
        <v>28</v>
      </c>
      <c r="J15" s="13">
        <v>0.88</v>
      </c>
    </row>
    <row r="16" spans="2:10" x14ac:dyDescent="0.25">
      <c r="B16" s="14"/>
      <c r="G16" s="11" t="s">
        <v>29</v>
      </c>
      <c r="I16" s="12" t="s">
        <v>30</v>
      </c>
      <c r="J16" s="13">
        <v>0.12</v>
      </c>
    </row>
    <row r="17" spans="2:10" x14ac:dyDescent="0.25">
      <c r="B17" s="14" t="s">
        <v>31</v>
      </c>
      <c r="C17" t="s">
        <v>32</v>
      </c>
      <c r="G17" s="11" t="s">
        <v>33</v>
      </c>
      <c r="I17" s="15" t="s">
        <v>34</v>
      </c>
      <c r="J17" s="13">
        <v>7.0000000000000007E-2</v>
      </c>
    </row>
    <row r="18" spans="2:10" x14ac:dyDescent="0.25">
      <c r="B18" s="14" t="s">
        <v>35</v>
      </c>
      <c r="D18" t="s">
        <v>36</v>
      </c>
      <c r="G18" s="11" t="s">
        <v>37</v>
      </c>
      <c r="I18" s="15" t="s">
        <v>38</v>
      </c>
      <c r="J18" s="13">
        <v>0.04</v>
      </c>
    </row>
    <row r="19" spans="2:10" x14ac:dyDescent="0.25">
      <c r="B19" s="14" t="s">
        <v>39</v>
      </c>
      <c r="C19" t="s">
        <v>40</v>
      </c>
      <c r="I19" s="15" t="s">
        <v>41</v>
      </c>
      <c r="J19" s="13">
        <v>0.01</v>
      </c>
    </row>
    <row r="20" spans="2:10" x14ac:dyDescent="0.25">
      <c r="B20" s="11" t="s">
        <v>42</v>
      </c>
    </row>
    <row r="21" spans="2:10" x14ac:dyDescent="0.25">
      <c r="B21" s="14"/>
    </row>
    <row r="22" spans="2:10" x14ac:dyDescent="0.25">
      <c r="B22" s="16" t="s">
        <v>43</v>
      </c>
      <c r="C22" s="16"/>
    </row>
    <row r="23" spans="2:10" x14ac:dyDescent="0.25">
      <c r="B23" s="17" t="s">
        <v>44</v>
      </c>
      <c r="C23" s="8">
        <f>E13</f>
        <v>120900</v>
      </c>
    </row>
    <row r="24" spans="2:10" x14ac:dyDescent="0.25">
      <c r="B24" s="17"/>
      <c r="C24" s="8"/>
    </row>
    <row r="25" spans="2:10" x14ac:dyDescent="0.25">
      <c r="B25" s="18" t="s">
        <v>45</v>
      </c>
      <c r="C25" s="18" t="s">
        <v>46</v>
      </c>
      <c r="D25" s="18" t="s">
        <v>47</v>
      </c>
      <c r="E25" s="18" t="s">
        <v>48</v>
      </c>
      <c r="F25" s="18" t="s">
        <v>49</v>
      </c>
      <c r="G25" s="18" t="s">
        <v>50</v>
      </c>
      <c r="H25" s="18" t="s">
        <v>51</v>
      </c>
      <c r="I25" s="18" t="s">
        <v>52</v>
      </c>
      <c r="J25" s="18" t="s">
        <v>53</v>
      </c>
    </row>
    <row r="26" spans="2:10" s="38" customFormat="1" x14ac:dyDescent="0.25">
      <c r="B26" s="5" t="s">
        <v>7</v>
      </c>
      <c r="C26" s="35">
        <f>$C$23*H5</f>
        <v>42315</v>
      </c>
      <c r="D26" s="36">
        <v>1.5</v>
      </c>
      <c r="E26" s="37">
        <f>C26/D26</f>
        <v>28210</v>
      </c>
      <c r="F26" s="37">
        <f>E26*12</f>
        <v>338520</v>
      </c>
      <c r="G26" s="37">
        <f>(F26*$H$11)+F26</f>
        <v>372372</v>
      </c>
      <c r="H26" s="37">
        <f>(G26*$H$11)+G26</f>
        <v>409609.2</v>
      </c>
      <c r="I26" s="37">
        <f>(H26*$H$11)+H26</f>
        <v>450570.12</v>
      </c>
      <c r="J26" s="37">
        <f>(I26*$H$11)+I26</f>
        <v>495627.13199999998</v>
      </c>
    </row>
    <row r="27" spans="2:10" s="38" customFormat="1" x14ac:dyDescent="0.25">
      <c r="B27" s="5" t="s">
        <v>9</v>
      </c>
      <c r="C27" s="35">
        <f>$C$23*H6</f>
        <v>12090</v>
      </c>
      <c r="D27" s="36">
        <v>7</v>
      </c>
      <c r="E27" s="37">
        <f t="shared" ref="E27:E30" si="0">C27/D27</f>
        <v>1727.1428571428571</v>
      </c>
      <c r="F27" s="37">
        <f t="shared" ref="F27:F29" si="1">E27*12</f>
        <v>20725.714285714286</v>
      </c>
      <c r="G27" s="37">
        <f t="shared" ref="G27:J30" si="2">(F27*$H$11)+F27</f>
        <v>22798.285714285714</v>
      </c>
      <c r="H27" s="37">
        <f t="shared" si="2"/>
        <v>25078.114285714284</v>
      </c>
      <c r="I27" s="37">
        <f t="shared" si="2"/>
        <v>27585.925714285713</v>
      </c>
      <c r="J27" s="37">
        <f t="shared" si="2"/>
        <v>30344.518285714286</v>
      </c>
    </row>
    <row r="28" spans="2:10" s="38" customFormat="1" x14ac:dyDescent="0.25">
      <c r="B28" s="5" t="s">
        <v>12</v>
      </c>
      <c r="C28" s="35">
        <f>$C$23*H7</f>
        <v>6045</v>
      </c>
      <c r="D28" s="36">
        <v>25</v>
      </c>
      <c r="E28" s="37">
        <f t="shared" si="0"/>
        <v>241.8</v>
      </c>
      <c r="F28" s="37">
        <f t="shared" si="1"/>
        <v>2901.6000000000004</v>
      </c>
      <c r="G28" s="37">
        <f t="shared" si="2"/>
        <v>3191.76</v>
      </c>
      <c r="H28" s="37">
        <f t="shared" si="2"/>
        <v>3510.9360000000001</v>
      </c>
      <c r="I28" s="37">
        <f t="shared" si="2"/>
        <v>3862.0296000000003</v>
      </c>
      <c r="J28" s="37">
        <f t="shared" si="2"/>
        <v>4248.2325600000004</v>
      </c>
    </row>
    <row r="29" spans="2:10" s="38" customFormat="1" x14ac:dyDescent="0.25">
      <c r="B29" s="5" t="s">
        <v>15</v>
      </c>
      <c r="C29" s="35">
        <f>$C$23*H8</f>
        <v>48360</v>
      </c>
      <c r="D29" s="36">
        <v>35</v>
      </c>
      <c r="E29" s="37">
        <f t="shared" si="0"/>
        <v>1381.7142857142858</v>
      </c>
      <c r="F29" s="37">
        <f t="shared" si="1"/>
        <v>16580.571428571428</v>
      </c>
      <c r="G29" s="37">
        <f t="shared" si="2"/>
        <v>18238.62857142857</v>
      </c>
      <c r="H29" s="37">
        <f t="shared" si="2"/>
        <v>20062.491428571426</v>
      </c>
      <c r="I29" s="37">
        <f t="shared" si="2"/>
        <v>22068.740571428567</v>
      </c>
      <c r="J29" s="37">
        <f t="shared" si="2"/>
        <v>24275.614628571424</v>
      </c>
    </row>
    <row r="30" spans="2:10" s="38" customFormat="1" x14ac:dyDescent="0.25">
      <c r="B30" s="5" t="s">
        <v>18</v>
      </c>
      <c r="C30" s="35">
        <f>$C$23*H9</f>
        <v>12090</v>
      </c>
      <c r="D30" s="36">
        <v>50</v>
      </c>
      <c r="E30" s="37">
        <f t="shared" si="0"/>
        <v>241.8</v>
      </c>
      <c r="F30" s="37">
        <f>E30*12</f>
        <v>2901.6000000000004</v>
      </c>
      <c r="G30" s="37">
        <f t="shared" si="2"/>
        <v>3191.76</v>
      </c>
      <c r="H30" s="37">
        <f t="shared" si="2"/>
        <v>3510.9360000000001</v>
      </c>
      <c r="I30" s="37">
        <f t="shared" si="2"/>
        <v>3862.0296000000003</v>
      </c>
      <c r="J30" s="37">
        <f t="shared" si="2"/>
        <v>4248.2325600000004</v>
      </c>
    </row>
    <row r="31" spans="2:10" x14ac:dyDescent="0.25">
      <c r="E31" s="20"/>
      <c r="F31" s="20"/>
      <c r="G31" s="20"/>
      <c r="H31" s="20"/>
      <c r="I31" s="20"/>
      <c r="J31" s="20"/>
    </row>
    <row r="32" spans="2:10" x14ac:dyDescent="0.25">
      <c r="B32" s="21" t="s">
        <v>54</v>
      </c>
      <c r="C32" s="21"/>
      <c r="D32" s="22" t="s">
        <v>55</v>
      </c>
    </row>
    <row r="34" spans="2:14" x14ac:dyDescent="0.25">
      <c r="B34" s="23" t="s">
        <v>45</v>
      </c>
      <c r="C34" s="23" t="s">
        <v>56</v>
      </c>
      <c r="D34" s="23" t="s">
        <v>57</v>
      </c>
      <c r="E34" s="23" t="s">
        <v>58</v>
      </c>
      <c r="F34" s="23" t="s">
        <v>59</v>
      </c>
      <c r="G34" s="23" t="s">
        <v>60</v>
      </c>
      <c r="H34" s="23" t="s">
        <v>61</v>
      </c>
      <c r="I34" s="23" t="s">
        <v>62</v>
      </c>
      <c r="J34" s="23" t="s">
        <v>63</v>
      </c>
      <c r="K34" s="23" t="s">
        <v>64</v>
      </c>
      <c r="L34" s="23" t="s">
        <v>65</v>
      </c>
      <c r="M34" s="23" t="s">
        <v>66</v>
      </c>
      <c r="N34" s="34" t="s">
        <v>87</v>
      </c>
    </row>
    <row r="35" spans="2:14" s="38" customFormat="1" x14ac:dyDescent="0.25">
      <c r="B35" s="5" t="s">
        <v>7</v>
      </c>
      <c r="C35" s="35">
        <f>$C$26</f>
        <v>42315</v>
      </c>
      <c r="D35" s="35">
        <f>$C$26</f>
        <v>42315</v>
      </c>
      <c r="E35" s="35">
        <f>$C$26</f>
        <v>42315</v>
      </c>
      <c r="F35" s="35">
        <f t="shared" ref="F35:N35" si="3">$C$26</f>
        <v>42315</v>
      </c>
      <c r="G35" s="35">
        <f t="shared" si="3"/>
        <v>42315</v>
      </c>
      <c r="H35" s="35">
        <f t="shared" si="3"/>
        <v>42315</v>
      </c>
      <c r="I35" s="35">
        <f t="shared" si="3"/>
        <v>42315</v>
      </c>
      <c r="J35" s="35">
        <f t="shared" si="3"/>
        <v>42315</v>
      </c>
      <c r="K35" s="35">
        <f t="shared" si="3"/>
        <v>42315</v>
      </c>
      <c r="L35" s="35">
        <f t="shared" si="3"/>
        <v>42315</v>
      </c>
      <c r="M35" s="35">
        <f t="shared" si="3"/>
        <v>42315</v>
      </c>
      <c r="N35" s="35">
        <f t="shared" si="3"/>
        <v>42315</v>
      </c>
    </row>
    <row r="36" spans="2:14" s="38" customFormat="1" x14ac:dyDescent="0.25">
      <c r="B36" s="5" t="s">
        <v>9</v>
      </c>
      <c r="C36" s="35">
        <f>$C$27</f>
        <v>12090</v>
      </c>
      <c r="D36" s="35">
        <f t="shared" ref="D36:N36" si="4">$C$27</f>
        <v>12090</v>
      </c>
      <c r="E36" s="35">
        <f t="shared" si="4"/>
        <v>12090</v>
      </c>
      <c r="F36" s="35">
        <f t="shared" si="4"/>
        <v>12090</v>
      </c>
      <c r="G36" s="35">
        <f t="shared" si="4"/>
        <v>12090</v>
      </c>
      <c r="H36" s="35">
        <f t="shared" si="4"/>
        <v>12090</v>
      </c>
      <c r="I36" s="35">
        <f t="shared" si="4"/>
        <v>12090</v>
      </c>
      <c r="J36" s="35">
        <f t="shared" si="4"/>
        <v>12090</v>
      </c>
      <c r="K36" s="35">
        <f t="shared" si="4"/>
        <v>12090</v>
      </c>
      <c r="L36" s="35">
        <f t="shared" si="4"/>
        <v>12090</v>
      </c>
      <c r="M36" s="35">
        <f t="shared" si="4"/>
        <v>12090</v>
      </c>
      <c r="N36" s="35">
        <f t="shared" si="4"/>
        <v>12090</v>
      </c>
    </row>
    <row r="37" spans="2:14" s="38" customFormat="1" x14ac:dyDescent="0.25">
      <c r="B37" s="5" t="s">
        <v>12</v>
      </c>
      <c r="C37" s="35">
        <f>$C$28</f>
        <v>6045</v>
      </c>
      <c r="D37" s="35">
        <f t="shared" ref="D37:N37" si="5">$C$28</f>
        <v>6045</v>
      </c>
      <c r="E37" s="35">
        <f t="shared" si="5"/>
        <v>6045</v>
      </c>
      <c r="F37" s="35">
        <f t="shared" si="5"/>
        <v>6045</v>
      </c>
      <c r="G37" s="35">
        <f t="shared" si="5"/>
        <v>6045</v>
      </c>
      <c r="H37" s="35">
        <f t="shared" si="5"/>
        <v>6045</v>
      </c>
      <c r="I37" s="35">
        <f t="shared" si="5"/>
        <v>6045</v>
      </c>
      <c r="J37" s="35">
        <f t="shared" si="5"/>
        <v>6045</v>
      </c>
      <c r="K37" s="35">
        <f t="shared" si="5"/>
        <v>6045</v>
      </c>
      <c r="L37" s="35">
        <f t="shared" si="5"/>
        <v>6045</v>
      </c>
      <c r="M37" s="35">
        <f t="shared" si="5"/>
        <v>6045</v>
      </c>
      <c r="N37" s="35">
        <f t="shared" si="5"/>
        <v>6045</v>
      </c>
    </row>
    <row r="38" spans="2:14" s="38" customFormat="1" x14ac:dyDescent="0.25">
      <c r="B38" s="5" t="s">
        <v>15</v>
      </c>
      <c r="C38" s="35">
        <f>$C$29</f>
        <v>48360</v>
      </c>
      <c r="D38" s="35">
        <f t="shared" ref="D38:N38" si="6">$C$29</f>
        <v>48360</v>
      </c>
      <c r="E38" s="35">
        <f t="shared" si="6"/>
        <v>48360</v>
      </c>
      <c r="F38" s="35">
        <f t="shared" si="6"/>
        <v>48360</v>
      </c>
      <c r="G38" s="35">
        <f t="shared" si="6"/>
        <v>48360</v>
      </c>
      <c r="H38" s="35">
        <f t="shared" si="6"/>
        <v>48360</v>
      </c>
      <c r="I38" s="35">
        <f t="shared" si="6"/>
        <v>48360</v>
      </c>
      <c r="J38" s="35">
        <f t="shared" si="6"/>
        <v>48360</v>
      </c>
      <c r="K38" s="35">
        <f t="shared" si="6"/>
        <v>48360</v>
      </c>
      <c r="L38" s="35">
        <f t="shared" si="6"/>
        <v>48360</v>
      </c>
      <c r="M38" s="35">
        <f t="shared" si="6"/>
        <v>48360</v>
      </c>
      <c r="N38" s="35">
        <f t="shared" si="6"/>
        <v>48360</v>
      </c>
    </row>
    <row r="39" spans="2:14" s="38" customFormat="1" ht="15.75" thickBot="1" x14ac:dyDescent="0.3">
      <c r="B39" s="24" t="s">
        <v>18</v>
      </c>
      <c r="C39" s="39">
        <f>$C$30</f>
        <v>12090</v>
      </c>
      <c r="D39" s="39">
        <f t="shared" ref="D39:N39" si="7">$C$30</f>
        <v>12090</v>
      </c>
      <c r="E39" s="39">
        <f t="shared" si="7"/>
        <v>12090</v>
      </c>
      <c r="F39" s="39">
        <f t="shared" si="7"/>
        <v>12090</v>
      </c>
      <c r="G39" s="39">
        <f t="shared" si="7"/>
        <v>12090</v>
      </c>
      <c r="H39" s="39">
        <f t="shared" si="7"/>
        <v>12090</v>
      </c>
      <c r="I39" s="39">
        <f t="shared" si="7"/>
        <v>12090</v>
      </c>
      <c r="J39" s="39">
        <f t="shared" si="7"/>
        <v>12090</v>
      </c>
      <c r="K39" s="39">
        <f t="shared" si="7"/>
        <v>12090</v>
      </c>
      <c r="L39" s="39">
        <f t="shared" si="7"/>
        <v>12090</v>
      </c>
      <c r="M39" s="39">
        <f t="shared" si="7"/>
        <v>12090</v>
      </c>
      <c r="N39" s="39">
        <f t="shared" si="7"/>
        <v>12090</v>
      </c>
    </row>
    <row r="40" spans="2:14" s="38" customFormat="1" x14ac:dyDescent="0.25">
      <c r="B40" s="26" t="s">
        <v>67</v>
      </c>
      <c r="C40" s="40">
        <f>SUM(C35:C39)</f>
        <v>120900</v>
      </c>
      <c r="D40" s="40">
        <f t="shared" ref="D40:N40" si="8">SUM(D35:D39)</f>
        <v>120900</v>
      </c>
      <c r="E40" s="40">
        <f t="shared" si="8"/>
        <v>120900</v>
      </c>
      <c r="F40" s="40">
        <f t="shared" si="8"/>
        <v>120900</v>
      </c>
      <c r="G40" s="40">
        <f t="shared" si="8"/>
        <v>120900</v>
      </c>
      <c r="H40" s="40">
        <f t="shared" si="8"/>
        <v>120900</v>
      </c>
      <c r="I40" s="40">
        <f t="shared" si="8"/>
        <v>120900</v>
      </c>
      <c r="J40" s="40">
        <f t="shared" si="8"/>
        <v>120900</v>
      </c>
      <c r="K40" s="40">
        <f t="shared" si="8"/>
        <v>120900</v>
      </c>
      <c r="L40" s="40">
        <f t="shared" si="8"/>
        <v>120900</v>
      </c>
      <c r="M40" s="40">
        <f t="shared" si="8"/>
        <v>120900</v>
      </c>
      <c r="N40" s="40">
        <f t="shared" si="8"/>
        <v>120900</v>
      </c>
    </row>
    <row r="42" spans="2:14" x14ac:dyDescent="0.25">
      <c r="B42" s="21" t="s">
        <v>68</v>
      </c>
      <c r="C42" s="21"/>
    </row>
    <row r="44" spans="2:14" x14ac:dyDescent="0.25">
      <c r="B44" s="28" t="s">
        <v>45</v>
      </c>
      <c r="C44" s="28"/>
      <c r="D44" s="23" t="s">
        <v>55</v>
      </c>
      <c r="E44" s="23" t="s">
        <v>69</v>
      </c>
      <c r="F44" s="23" t="s">
        <v>70</v>
      </c>
      <c r="G44" s="23" t="s">
        <v>71</v>
      </c>
      <c r="H44" s="23" t="s">
        <v>72</v>
      </c>
    </row>
    <row r="45" spans="2:14" x14ac:dyDescent="0.25">
      <c r="B45" s="29" t="s">
        <v>7</v>
      </c>
      <c r="C45" s="29"/>
      <c r="D45" s="19">
        <f>SUM(C35:N35)</f>
        <v>507780</v>
      </c>
      <c r="E45" s="19">
        <f>(D45*$H$12)+D45</f>
        <v>538246.80000000005</v>
      </c>
      <c r="F45" s="19">
        <f>(E45*$H$12)+E45</f>
        <v>570541.60800000001</v>
      </c>
      <c r="G45" s="19">
        <f t="shared" ref="G45" si="9">(F45*$H$12)+F45</f>
        <v>604774.10447999998</v>
      </c>
      <c r="H45" s="19">
        <f>(G45*$H$12)+G45</f>
        <v>641060.55074879993</v>
      </c>
    </row>
    <row r="46" spans="2:14" x14ac:dyDescent="0.25">
      <c r="B46" s="29" t="s">
        <v>73</v>
      </c>
      <c r="C46" s="29"/>
      <c r="D46" s="19">
        <f t="shared" ref="D46:D50" si="10">SUM(C36:N36)</f>
        <v>145080</v>
      </c>
      <c r="E46" s="19">
        <f>(D46*$H$12)+D46</f>
        <v>153784.79999999999</v>
      </c>
      <c r="F46" s="19">
        <f t="shared" ref="F46:H49" si="11">(E46*$H$12)+E46</f>
        <v>163011.88799999998</v>
      </c>
      <c r="G46" s="19">
        <f t="shared" si="11"/>
        <v>172792.60127999997</v>
      </c>
      <c r="H46" s="19">
        <f t="shared" si="11"/>
        <v>183160.15735679996</v>
      </c>
    </row>
    <row r="47" spans="2:14" x14ac:dyDescent="0.25">
      <c r="B47" s="29" t="s">
        <v>74</v>
      </c>
      <c r="C47" s="29"/>
      <c r="D47" s="19">
        <f t="shared" si="10"/>
        <v>72540</v>
      </c>
      <c r="E47" s="19">
        <f>(D47*$H$12)+D47</f>
        <v>76892.399999999994</v>
      </c>
      <c r="F47" s="19">
        <f t="shared" si="11"/>
        <v>81505.943999999989</v>
      </c>
      <c r="G47" s="19">
        <f t="shared" si="11"/>
        <v>86396.300639999987</v>
      </c>
      <c r="H47" s="19">
        <f t="shared" si="11"/>
        <v>91580.078678399979</v>
      </c>
    </row>
    <row r="48" spans="2:14" x14ac:dyDescent="0.25">
      <c r="B48" s="29" t="s">
        <v>15</v>
      </c>
      <c r="C48" s="29"/>
      <c r="D48" s="19">
        <f t="shared" si="10"/>
        <v>580320</v>
      </c>
      <c r="E48" s="19">
        <f>(D48*$H$12)+D48</f>
        <v>615139.19999999995</v>
      </c>
      <c r="F48" s="19">
        <f t="shared" si="11"/>
        <v>652047.55199999991</v>
      </c>
      <c r="G48" s="19">
        <f t="shared" si="11"/>
        <v>691170.40511999989</v>
      </c>
      <c r="H48" s="19">
        <f t="shared" si="11"/>
        <v>732640.62942719983</v>
      </c>
    </row>
    <row r="49" spans="2:14" ht="15.75" thickBot="1" x14ac:dyDescent="0.3">
      <c r="B49" s="30" t="s">
        <v>18</v>
      </c>
      <c r="C49" s="30"/>
      <c r="D49" s="25">
        <f t="shared" si="10"/>
        <v>145080</v>
      </c>
      <c r="E49" s="25">
        <f>(D49*$H$12)+D49</f>
        <v>153784.79999999999</v>
      </c>
      <c r="F49" s="25">
        <f t="shared" si="11"/>
        <v>163011.88799999998</v>
      </c>
      <c r="G49" s="25">
        <f t="shared" si="11"/>
        <v>172792.60127999997</v>
      </c>
      <c r="H49" s="25">
        <f t="shared" si="11"/>
        <v>183160.15735679996</v>
      </c>
    </row>
    <row r="50" spans="2:14" x14ac:dyDescent="0.25">
      <c r="B50" s="31" t="s">
        <v>75</v>
      </c>
      <c r="C50" s="31"/>
      <c r="D50" s="27">
        <f t="shared" si="10"/>
        <v>1450800</v>
      </c>
      <c r="E50" s="27">
        <f>SUM(E45:E49)</f>
        <v>1537848.0000000002</v>
      </c>
      <c r="F50" s="27">
        <f t="shared" ref="F50:G50" si="12">SUM(F45:F49)</f>
        <v>1630118.8800000001</v>
      </c>
      <c r="G50" s="27">
        <f t="shared" si="12"/>
        <v>1727926.0127999999</v>
      </c>
      <c r="H50" s="27">
        <f>SUM(H45:H49)</f>
        <v>1831601.5735679998</v>
      </c>
    </row>
    <row r="52" spans="2:14" x14ac:dyDescent="0.25">
      <c r="B52" s="1" t="s">
        <v>76</v>
      </c>
      <c r="C52" s="1"/>
      <c r="D52" s="1"/>
    </row>
    <row r="54" spans="2:14" x14ac:dyDescent="0.25">
      <c r="B54" s="2" t="s">
        <v>77</v>
      </c>
      <c r="D54" s="8"/>
    </row>
    <row r="55" spans="2:14" x14ac:dyDescent="0.25">
      <c r="B55" s="2" t="s">
        <v>78</v>
      </c>
      <c r="D55" s="8"/>
    </row>
    <row r="57" spans="2:14" x14ac:dyDescent="0.25">
      <c r="B57" s="23" t="s">
        <v>45</v>
      </c>
      <c r="C57" s="23" t="s">
        <v>56</v>
      </c>
      <c r="D57" s="23" t="s">
        <v>57</v>
      </c>
      <c r="E57" s="23" t="s">
        <v>58</v>
      </c>
      <c r="F57" s="23" t="s">
        <v>59</v>
      </c>
      <c r="G57" s="23" t="s">
        <v>60</v>
      </c>
      <c r="H57" s="23" t="s">
        <v>61</v>
      </c>
      <c r="I57" s="23" t="s">
        <v>62</v>
      </c>
      <c r="J57" s="23" t="s">
        <v>63</v>
      </c>
      <c r="K57" s="23" t="s">
        <v>64</v>
      </c>
      <c r="L57" s="23" t="s">
        <v>65</v>
      </c>
      <c r="M57" s="23" t="s">
        <v>66</v>
      </c>
      <c r="N57" s="23" t="s">
        <v>87</v>
      </c>
    </row>
    <row r="58" spans="2:14" ht="30" x14ac:dyDescent="0.25">
      <c r="B58" s="5" t="s">
        <v>67</v>
      </c>
      <c r="C58" s="19">
        <f>C40</f>
        <v>120900</v>
      </c>
      <c r="D58" s="19">
        <f>D40</f>
        <v>120900</v>
      </c>
      <c r="E58" s="19">
        <f t="shared" ref="E58:N58" si="13">E40</f>
        <v>120900</v>
      </c>
      <c r="F58" s="19">
        <f t="shared" si="13"/>
        <v>120900</v>
      </c>
      <c r="G58" s="19">
        <f t="shared" si="13"/>
        <v>120900</v>
      </c>
      <c r="H58" s="19">
        <f t="shared" si="13"/>
        <v>120900</v>
      </c>
      <c r="I58" s="19">
        <f t="shared" si="13"/>
        <v>120900</v>
      </c>
      <c r="J58" s="19">
        <f t="shared" si="13"/>
        <v>120900</v>
      </c>
      <c r="K58" s="19">
        <f t="shared" si="13"/>
        <v>120900</v>
      </c>
      <c r="L58" s="19">
        <f t="shared" si="13"/>
        <v>120900</v>
      </c>
      <c r="M58" s="19">
        <f t="shared" si="13"/>
        <v>120900</v>
      </c>
      <c r="N58" s="19">
        <f t="shared" si="13"/>
        <v>120900</v>
      </c>
    </row>
    <row r="59" spans="2:14" x14ac:dyDescent="0.25">
      <c r="B59" s="12" t="s">
        <v>79</v>
      </c>
      <c r="C59" s="19">
        <f>C58*$J$15</f>
        <v>106392</v>
      </c>
      <c r="D59" s="19">
        <f t="shared" ref="D59:N59" si="14">D58*$J$15</f>
        <v>106392</v>
      </c>
      <c r="E59" s="19">
        <f t="shared" si="14"/>
        <v>106392</v>
      </c>
      <c r="F59" s="19">
        <f t="shared" si="14"/>
        <v>106392</v>
      </c>
      <c r="G59" s="19">
        <f t="shared" si="14"/>
        <v>106392</v>
      </c>
      <c r="H59" s="19">
        <f t="shared" si="14"/>
        <v>106392</v>
      </c>
      <c r="I59" s="19">
        <f t="shared" si="14"/>
        <v>106392</v>
      </c>
      <c r="J59" s="19">
        <f t="shared" si="14"/>
        <v>106392</v>
      </c>
      <c r="K59" s="19">
        <f t="shared" si="14"/>
        <v>106392</v>
      </c>
      <c r="L59" s="19">
        <f t="shared" si="14"/>
        <v>106392</v>
      </c>
      <c r="M59" s="19">
        <f t="shared" si="14"/>
        <v>106392</v>
      </c>
      <c r="N59" s="19">
        <f t="shared" si="14"/>
        <v>106392</v>
      </c>
    </row>
    <row r="60" spans="2:14" x14ac:dyDescent="0.25">
      <c r="B60" s="12" t="s">
        <v>30</v>
      </c>
      <c r="C60" s="19">
        <f>C58*$J$16</f>
        <v>14508</v>
      </c>
      <c r="D60" s="19">
        <f t="shared" ref="D60:N60" si="15">D58*$J$16</f>
        <v>14508</v>
      </c>
      <c r="E60" s="19">
        <f t="shared" si="15"/>
        <v>14508</v>
      </c>
      <c r="F60" s="19">
        <f t="shared" si="15"/>
        <v>14508</v>
      </c>
      <c r="G60" s="19">
        <f t="shared" si="15"/>
        <v>14508</v>
      </c>
      <c r="H60" s="19">
        <f t="shared" si="15"/>
        <v>14508</v>
      </c>
      <c r="I60" s="19">
        <f t="shared" si="15"/>
        <v>14508</v>
      </c>
      <c r="J60" s="19">
        <f t="shared" si="15"/>
        <v>14508</v>
      </c>
      <c r="K60" s="19">
        <f t="shared" si="15"/>
        <v>14508</v>
      </c>
      <c r="L60" s="19">
        <f t="shared" si="15"/>
        <v>14508</v>
      </c>
      <c r="M60" s="19">
        <f t="shared" si="15"/>
        <v>14508</v>
      </c>
      <c r="N60" s="19">
        <f t="shared" si="15"/>
        <v>14508</v>
      </c>
    </row>
    <row r="61" spans="2:14" x14ac:dyDescent="0.25">
      <c r="B61" s="12" t="s">
        <v>31</v>
      </c>
      <c r="C61" s="19">
        <f>C60*(7/12)</f>
        <v>8463</v>
      </c>
      <c r="D61" s="19">
        <f t="shared" ref="D61:N61" si="16">D60*(7/12)</f>
        <v>8463</v>
      </c>
      <c r="E61" s="19">
        <f t="shared" si="16"/>
        <v>8463</v>
      </c>
      <c r="F61" s="19">
        <f t="shared" si="16"/>
        <v>8463</v>
      </c>
      <c r="G61" s="19">
        <f t="shared" si="16"/>
        <v>8463</v>
      </c>
      <c r="H61" s="19">
        <f t="shared" si="16"/>
        <v>8463</v>
      </c>
      <c r="I61" s="19">
        <f t="shared" si="16"/>
        <v>8463</v>
      </c>
      <c r="J61" s="19">
        <f t="shared" si="16"/>
        <v>8463</v>
      </c>
      <c r="K61" s="19">
        <f t="shared" si="16"/>
        <v>8463</v>
      </c>
      <c r="L61" s="19">
        <f t="shared" si="16"/>
        <v>8463</v>
      </c>
      <c r="M61" s="19">
        <f t="shared" si="16"/>
        <v>8463</v>
      </c>
      <c r="N61" s="19">
        <f t="shared" si="16"/>
        <v>8463</v>
      </c>
    </row>
    <row r="62" spans="2:14" x14ac:dyDescent="0.25">
      <c r="B62" s="12" t="s">
        <v>38</v>
      </c>
      <c r="C62" s="19">
        <f>C60*(4/12)</f>
        <v>4836</v>
      </c>
      <c r="D62" s="19">
        <f t="shared" ref="D62:N62" si="17">D60*(4/12)</f>
        <v>4836</v>
      </c>
      <c r="E62" s="19">
        <f t="shared" si="17"/>
        <v>4836</v>
      </c>
      <c r="F62" s="19">
        <f t="shared" si="17"/>
        <v>4836</v>
      </c>
      <c r="G62" s="19">
        <f t="shared" si="17"/>
        <v>4836</v>
      </c>
      <c r="H62" s="19">
        <f t="shared" si="17"/>
        <v>4836</v>
      </c>
      <c r="I62" s="19">
        <f t="shared" si="17"/>
        <v>4836</v>
      </c>
      <c r="J62" s="19">
        <f t="shared" si="17"/>
        <v>4836</v>
      </c>
      <c r="K62" s="19">
        <f t="shared" si="17"/>
        <v>4836</v>
      </c>
      <c r="L62" s="19">
        <f t="shared" si="17"/>
        <v>4836</v>
      </c>
      <c r="M62" s="19">
        <f t="shared" si="17"/>
        <v>4836</v>
      </c>
      <c r="N62" s="19">
        <f t="shared" si="17"/>
        <v>4836</v>
      </c>
    </row>
    <row r="63" spans="2:14" x14ac:dyDescent="0.25">
      <c r="B63" s="12" t="s">
        <v>41</v>
      </c>
      <c r="C63" s="19">
        <f>C60*(1/12)</f>
        <v>1209</v>
      </c>
      <c r="D63" s="19">
        <f t="shared" ref="D63:N63" si="18">D60*(1/12)</f>
        <v>1209</v>
      </c>
      <c r="E63" s="19">
        <f t="shared" si="18"/>
        <v>1209</v>
      </c>
      <c r="F63" s="19">
        <f t="shared" si="18"/>
        <v>1209</v>
      </c>
      <c r="G63" s="19">
        <f t="shared" si="18"/>
        <v>1209</v>
      </c>
      <c r="H63" s="19">
        <f t="shared" si="18"/>
        <v>1209</v>
      </c>
      <c r="I63" s="19">
        <f t="shared" si="18"/>
        <v>1209</v>
      </c>
      <c r="J63" s="19">
        <f t="shared" si="18"/>
        <v>1209</v>
      </c>
      <c r="K63" s="19">
        <f t="shared" si="18"/>
        <v>1209</v>
      </c>
      <c r="L63" s="19">
        <f t="shared" si="18"/>
        <v>1209</v>
      </c>
      <c r="M63" s="19">
        <f t="shared" si="18"/>
        <v>1209</v>
      </c>
      <c r="N63" s="19">
        <f t="shared" si="18"/>
        <v>1209</v>
      </c>
    </row>
    <row r="65" spans="2:14" x14ac:dyDescent="0.25">
      <c r="B65" s="23" t="s">
        <v>45</v>
      </c>
      <c r="C65" s="23" t="s">
        <v>55</v>
      </c>
      <c r="D65" s="23" t="s">
        <v>69</v>
      </c>
      <c r="E65" s="23" t="s">
        <v>70</v>
      </c>
      <c r="F65" s="23" t="s">
        <v>71</v>
      </c>
      <c r="G65" s="23" t="s">
        <v>72</v>
      </c>
    </row>
    <row r="66" spans="2:14" ht="30" x14ac:dyDescent="0.25">
      <c r="B66" s="5" t="s">
        <v>80</v>
      </c>
      <c r="C66" s="19">
        <f>D50</f>
        <v>1450800</v>
      </c>
      <c r="D66" s="19">
        <f>E50</f>
        <v>1537848.0000000002</v>
      </c>
      <c r="E66" s="19">
        <f>F50</f>
        <v>1630118.8800000001</v>
      </c>
      <c r="F66" s="19">
        <f>G50</f>
        <v>1727926.0127999999</v>
      </c>
      <c r="G66" s="19">
        <f>H50</f>
        <v>1831601.5735679998</v>
      </c>
    </row>
    <row r="67" spans="2:14" x14ac:dyDescent="0.25">
      <c r="B67" s="12" t="s">
        <v>79</v>
      </c>
      <c r="C67" s="19">
        <f>C66*$J$15</f>
        <v>1276704</v>
      </c>
      <c r="D67" s="19">
        <f t="shared" ref="D67:G67" si="19">D66*$J$15</f>
        <v>1353306.2400000002</v>
      </c>
      <c r="E67" s="19">
        <f t="shared" si="19"/>
        <v>1434504.6144000001</v>
      </c>
      <c r="F67" s="19">
        <f t="shared" si="19"/>
        <v>1520574.891264</v>
      </c>
      <c r="G67" s="19">
        <f t="shared" si="19"/>
        <v>1611809.3847398397</v>
      </c>
    </row>
    <row r="68" spans="2:14" x14ac:dyDescent="0.25">
      <c r="B68" s="12" t="s">
        <v>30</v>
      </c>
      <c r="C68" s="19">
        <f>C66*$J$16</f>
        <v>174096</v>
      </c>
      <c r="D68" s="19">
        <f t="shared" ref="D68:G68" si="20">D66*$J$16</f>
        <v>184541.76</v>
      </c>
      <c r="E68" s="19">
        <f t="shared" si="20"/>
        <v>195614.26560000001</v>
      </c>
      <c r="F68" s="19">
        <f t="shared" si="20"/>
        <v>207351.12153599999</v>
      </c>
      <c r="G68" s="19">
        <f t="shared" si="20"/>
        <v>219792.18882815997</v>
      </c>
    </row>
    <row r="69" spans="2:14" x14ac:dyDescent="0.25">
      <c r="B69" s="12" t="s">
        <v>31</v>
      </c>
      <c r="C69" s="19">
        <f>C68*(7/12)</f>
        <v>101556</v>
      </c>
      <c r="D69" s="19">
        <f t="shared" ref="D69:G69" si="21">D68*(7/12)</f>
        <v>107649.36000000002</v>
      </c>
      <c r="E69" s="19">
        <f t="shared" si="21"/>
        <v>114108.32160000001</v>
      </c>
      <c r="F69" s="19">
        <f t="shared" si="21"/>
        <v>120954.820896</v>
      </c>
      <c r="G69" s="19">
        <f t="shared" si="21"/>
        <v>128212.11014975999</v>
      </c>
    </row>
    <row r="70" spans="2:14" x14ac:dyDescent="0.25">
      <c r="B70" s="12" t="s">
        <v>38</v>
      </c>
      <c r="C70" s="19">
        <f>C68*(4/12)</f>
        <v>58032</v>
      </c>
      <c r="D70" s="19">
        <f t="shared" ref="D70:G70" si="22">D68*(4/12)</f>
        <v>61513.919999999998</v>
      </c>
      <c r="E70" s="19">
        <f t="shared" si="22"/>
        <v>65204.7552</v>
      </c>
      <c r="F70" s="19">
        <f t="shared" si="22"/>
        <v>69117.040511999992</v>
      </c>
      <c r="G70" s="19">
        <f t="shared" si="22"/>
        <v>73264.062942719989</v>
      </c>
    </row>
    <row r="71" spans="2:14" x14ac:dyDescent="0.25">
      <c r="B71" s="12" t="s">
        <v>41</v>
      </c>
      <c r="C71" s="19">
        <f>C68*(1/12)</f>
        <v>14508</v>
      </c>
      <c r="D71" s="19">
        <f t="shared" ref="D71:G71" si="23">D68*(1/12)</f>
        <v>15378.48</v>
      </c>
      <c r="E71" s="19">
        <f t="shared" si="23"/>
        <v>16301.1888</v>
      </c>
      <c r="F71" s="19">
        <f t="shared" si="23"/>
        <v>17279.260127999998</v>
      </c>
      <c r="G71" s="19">
        <f t="shared" si="23"/>
        <v>18316.015735679997</v>
      </c>
    </row>
    <row r="73" spans="2:14" x14ac:dyDescent="0.25">
      <c r="B73" s="1" t="s">
        <v>81</v>
      </c>
      <c r="C73" s="1"/>
      <c r="D73" s="1"/>
    </row>
    <row r="75" spans="2:14" x14ac:dyDescent="0.25">
      <c r="B75" s="32" t="s">
        <v>82</v>
      </c>
    </row>
    <row r="76" spans="2:14" x14ac:dyDescent="0.25">
      <c r="B76" s="14" t="s">
        <v>83</v>
      </c>
      <c r="C76">
        <f>7/30</f>
        <v>0.23333333333333334</v>
      </c>
      <c r="D76">
        <f>7/365</f>
        <v>1.9178082191780823E-2</v>
      </c>
    </row>
    <row r="77" spans="2:14" x14ac:dyDescent="0.25">
      <c r="B77" s="14" t="s">
        <v>84</v>
      </c>
      <c r="C77">
        <f>15/30</f>
        <v>0.5</v>
      </c>
    </row>
    <row r="78" spans="2:14" x14ac:dyDescent="0.25">
      <c r="B78" s="14" t="s">
        <v>85</v>
      </c>
      <c r="C78">
        <f>30/30</f>
        <v>1</v>
      </c>
    </row>
    <row r="80" spans="2:14" x14ac:dyDescent="0.25">
      <c r="B80" s="23" t="s">
        <v>45</v>
      </c>
      <c r="C80" s="23" t="s">
        <v>56</v>
      </c>
      <c r="D80" s="23" t="s">
        <v>57</v>
      </c>
      <c r="E80" s="23" t="s">
        <v>58</v>
      </c>
      <c r="F80" s="23" t="s">
        <v>59</v>
      </c>
      <c r="G80" s="23" t="s">
        <v>60</v>
      </c>
      <c r="H80" s="23" t="s">
        <v>61</v>
      </c>
      <c r="I80" s="23" t="s">
        <v>62</v>
      </c>
      <c r="J80" s="23" t="s">
        <v>63</v>
      </c>
      <c r="K80" s="23" t="s">
        <v>64</v>
      </c>
      <c r="L80" s="23" t="s">
        <v>65</v>
      </c>
      <c r="M80" s="23" t="s">
        <v>66</v>
      </c>
      <c r="N80" s="23" t="s">
        <v>87</v>
      </c>
    </row>
    <row r="81" spans="2:14" x14ac:dyDescent="0.25">
      <c r="B81" s="33" t="s">
        <v>30</v>
      </c>
      <c r="C81" s="19">
        <f>C60</f>
        <v>14508</v>
      </c>
      <c r="D81" s="19">
        <f t="shared" ref="D81:N81" si="24">D60</f>
        <v>14508</v>
      </c>
      <c r="E81" s="19">
        <f t="shared" si="24"/>
        <v>14508</v>
      </c>
      <c r="F81" s="19">
        <f t="shared" si="24"/>
        <v>14508</v>
      </c>
      <c r="G81" s="19">
        <f t="shared" si="24"/>
        <v>14508</v>
      </c>
      <c r="H81" s="19">
        <f t="shared" si="24"/>
        <v>14508</v>
      </c>
      <c r="I81" s="19">
        <f t="shared" si="24"/>
        <v>14508</v>
      </c>
      <c r="J81" s="19">
        <f t="shared" si="24"/>
        <v>14508</v>
      </c>
      <c r="K81" s="19">
        <f t="shared" si="24"/>
        <v>14508</v>
      </c>
      <c r="L81" s="19">
        <f t="shared" si="24"/>
        <v>14508</v>
      </c>
      <c r="M81" s="19">
        <f t="shared" si="24"/>
        <v>14508</v>
      </c>
      <c r="N81" s="19">
        <f t="shared" si="24"/>
        <v>14508</v>
      </c>
    </row>
    <row r="82" spans="2:14" x14ac:dyDescent="0.25">
      <c r="B82" s="33" t="s">
        <v>31</v>
      </c>
      <c r="C82" s="19">
        <f>C61*$C$76</f>
        <v>1974.7</v>
      </c>
      <c r="D82" s="19">
        <f t="shared" ref="D82:N82" si="25">D61*$C$76</f>
        <v>1974.7</v>
      </c>
      <c r="E82" s="19">
        <f t="shared" si="25"/>
        <v>1974.7</v>
      </c>
      <c r="F82" s="19">
        <f t="shared" si="25"/>
        <v>1974.7</v>
      </c>
      <c r="G82" s="19">
        <f t="shared" si="25"/>
        <v>1974.7</v>
      </c>
      <c r="H82" s="19">
        <f t="shared" si="25"/>
        <v>1974.7</v>
      </c>
      <c r="I82" s="19">
        <f t="shared" si="25"/>
        <v>1974.7</v>
      </c>
      <c r="J82" s="19">
        <f t="shared" si="25"/>
        <v>1974.7</v>
      </c>
      <c r="K82" s="19">
        <f t="shared" si="25"/>
        <v>1974.7</v>
      </c>
      <c r="L82" s="19">
        <f t="shared" si="25"/>
        <v>1974.7</v>
      </c>
      <c r="M82" s="19">
        <f t="shared" si="25"/>
        <v>1974.7</v>
      </c>
      <c r="N82" s="19">
        <f t="shared" si="25"/>
        <v>1974.7</v>
      </c>
    </row>
    <row r="83" spans="2:14" x14ac:dyDescent="0.25">
      <c r="B83" s="33" t="s">
        <v>38</v>
      </c>
      <c r="C83" s="19">
        <f>C62*$C$77</f>
        <v>2418</v>
      </c>
      <c r="D83" s="19">
        <f t="shared" ref="D83:N83" si="26">D62*$C$77</f>
        <v>2418</v>
      </c>
      <c r="E83" s="19">
        <f t="shared" si="26"/>
        <v>2418</v>
      </c>
      <c r="F83" s="19">
        <f t="shared" si="26"/>
        <v>2418</v>
      </c>
      <c r="G83" s="19">
        <f t="shared" si="26"/>
        <v>2418</v>
      </c>
      <c r="H83" s="19">
        <f t="shared" si="26"/>
        <v>2418</v>
      </c>
      <c r="I83" s="19">
        <f t="shared" si="26"/>
        <v>2418</v>
      </c>
      <c r="J83" s="19">
        <f t="shared" si="26"/>
        <v>2418</v>
      </c>
      <c r="K83" s="19">
        <f t="shared" si="26"/>
        <v>2418</v>
      </c>
      <c r="L83" s="19">
        <f t="shared" si="26"/>
        <v>2418</v>
      </c>
      <c r="M83" s="19">
        <f t="shared" si="26"/>
        <v>2418</v>
      </c>
      <c r="N83" s="19">
        <f t="shared" si="26"/>
        <v>2418</v>
      </c>
    </row>
    <row r="84" spans="2:14" x14ac:dyDescent="0.25">
      <c r="B84" s="33" t="s">
        <v>41</v>
      </c>
      <c r="C84" s="19">
        <f>C63*$C$78</f>
        <v>1209</v>
      </c>
      <c r="D84" s="19">
        <f t="shared" ref="D84:N84" si="27">D63*$C$78</f>
        <v>1209</v>
      </c>
      <c r="E84" s="19">
        <f t="shared" si="27"/>
        <v>1209</v>
      </c>
      <c r="F84" s="19">
        <f t="shared" si="27"/>
        <v>1209</v>
      </c>
      <c r="G84" s="19">
        <f t="shared" si="27"/>
        <v>1209</v>
      </c>
      <c r="H84" s="19">
        <f t="shared" si="27"/>
        <v>1209</v>
      </c>
      <c r="I84" s="19">
        <f t="shared" si="27"/>
        <v>1209</v>
      </c>
      <c r="J84" s="19">
        <f t="shared" si="27"/>
        <v>1209</v>
      </c>
      <c r="K84" s="19">
        <f t="shared" si="27"/>
        <v>1209</v>
      </c>
      <c r="L84" s="19">
        <f t="shared" si="27"/>
        <v>1209</v>
      </c>
      <c r="M84" s="19">
        <f t="shared" si="27"/>
        <v>1209</v>
      </c>
      <c r="N84" s="19">
        <f t="shared" si="27"/>
        <v>1209</v>
      </c>
    </row>
    <row r="85" spans="2:14" x14ac:dyDescent="0.25">
      <c r="B85" s="33" t="s">
        <v>86</v>
      </c>
      <c r="C85" s="19">
        <f>SUM(C82:C84)</f>
        <v>5601.7</v>
      </c>
      <c r="D85" s="19">
        <f t="shared" ref="D85:N85" si="28">SUM(D82:D84)</f>
        <v>5601.7</v>
      </c>
      <c r="E85" s="19">
        <f t="shared" si="28"/>
        <v>5601.7</v>
      </c>
      <c r="F85" s="19">
        <f t="shared" si="28"/>
        <v>5601.7</v>
      </c>
      <c r="G85" s="19">
        <f t="shared" si="28"/>
        <v>5601.7</v>
      </c>
      <c r="H85" s="19">
        <f t="shared" si="28"/>
        <v>5601.7</v>
      </c>
      <c r="I85" s="19">
        <f t="shared" si="28"/>
        <v>5601.7</v>
      </c>
      <c r="J85" s="19">
        <f t="shared" si="28"/>
        <v>5601.7</v>
      </c>
      <c r="K85" s="19">
        <f t="shared" si="28"/>
        <v>5601.7</v>
      </c>
      <c r="L85" s="19">
        <f t="shared" si="28"/>
        <v>5601.7</v>
      </c>
      <c r="M85" s="19">
        <f t="shared" si="28"/>
        <v>5601.7</v>
      </c>
      <c r="N85" s="19">
        <f t="shared" si="28"/>
        <v>5601.7</v>
      </c>
    </row>
    <row r="87" spans="2:14" x14ac:dyDescent="0.25">
      <c r="B87" s="23" t="s">
        <v>45</v>
      </c>
      <c r="C87" s="23" t="s">
        <v>55</v>
      </c>
      <c r="D87" s="23" t="s">
        <v>69</v>
      </c>
      <c r="E87" s="23" t="s">
        <v>70</v>
      </c>
      <c r="F87" s="23" t="s">
        <v>71</v>
      </c>
      <c r="G87" s="23" t="s">
        <v>72</v>
      </c>
    </row>
    <row r="88" spans="2:14" x14ac:dyDescent="0.25">
      <c r="B88" s="33" t="s">
        <v>30</v>
      </c>
      <c r="C88" s="19">
        <f>C68</f>
        <v>174096</v>
      </c>
      <c r="D88" s="19">
        <f t="shared" ref="D88:G88" si="29">D68</f>
        <v>184541.76</v>
      </c>
      <c r="E88" s="19">
        <f t="shared" si="29"/>
        <v>195614.26560000001</v>
      </c>
      <c r="F88" s="19">
        <f t="shared" si="29"/>
        <v>207351.12153599999</v>
      </c>
      <c r="G88" s="19">
        <f t="shared" si="29"/>
        <v>219792.18882815997</v>
      </c>
    </row>
    <row r="89" spans="2:14" x14ac:dyDescent="0.25">
      <c r="B89" s="33" t="s">
        <v>31</v>
      </c>
      <c r="C89" s="19">
        <f>C69*C76</f>
        <v>23696.400000000001</v>
      </c>
      <c r="D89" s="19">
        <f>D69*$C$76</f>
        <v>25118.184000000005</v>
      </c>
      <c r="E89" s="19">
        <f t="shared" ref="E89:G89" si="30">E69*$C$76</f>
        <v>26625.275040000004</v>
      </c>
      <c r="F89" s="19">
        <f t="shared" si="30"/>
        <v>28222.791542400002</v>
      </c>
      <c r="G89" s="19">
        <f t="shared" si="30"/>
        <v>29916.159034943998</v>
      </c>
    </row>
    <row r="90" spans="2:14" x14ac:dyDescent="0.25">
      <c r="B90" s="33" t="s">
        <v>38</v>
      </c>
      <c r="C90" s="19">
        <f>C70*C77</f>
        <v>29016</v>
      </c>
      <c r="D90" s="19">
        <f>D70*$C$77</f>
        <v>30756.959999999999</v>
      </c>
      <c r="E90" s="19">
        <f t="shared" ref="E90:G90" si="31">E70*$C$77</f>
        <v>32602.3776</v>
      </c>
      <c r="F90" s="19">
        <f t="shared" si="31"/>
        <v>34558.520255999996</v>
      </c>
      <c r="G90" s="19">
        <f t="shared" si="31"/>
        <v>36632.031471359995</v>
      </c>
    </row>
    <row r="91" spans="2:14" x14ac:dyDescent="0.25">
      <c r="B91" s="33" t="s">
        <v>41</v>
      </c>
      <c r="C91" s="19">
        <f>C71*C78</f>
        <v>14508</v>
      </c>
      <c r="D91" s="19">
        <f>D71*$C$78</f>
        <v>15378.48</v>
      </c>
      <c r="E91" s="19">
        <f t="shared" ref="E91:G91" si="32">E71*$C$78</f>
        <v>16301.1888</v>
      </c>
      <c r="F91" s="19">
        <f t="shared" si="32"/>
        <v>17279.260127999998</v>
      </c>
      <c r="G91" s="19">
        <f t="shared" si="32"/>
        <v>18316.015735679997</v>
      </c>
    </row>
    <row r="92" spans="2:14" x14ac:dyDescent="0.25">
      <c r="B92" s="33" t="s">
        <v>86</v>
      </c>
      <c r="C92" s="19">
        <f>SUM(C89:C91)</f>
        <v>67220.399999999994</v>
      </c>
      <c r="D92" s="19">
        <f t="shared" ref="D92:G92" si="33">SUM(D89:D91)</f>
        <v>71253.623999999996</v>
      </c>
      <c r="E92" s="19">
        <f t="shared" si="33"/>
        <v>75528.841440000004</v>
      </c>
      <c r="F92" s="19">
        <f t="shared" si="33"/>
        <v>80060.571926399993</v>
      </c>
      <c r="G92" s="19">
        <f t="shared" si="33"/>
        <v>84864.206241983979</v>
      </c>
    </row>
  </sheetData>
  <mergeCells count="22">
    <mergeCell ref="B49:C49"/>
    <mergeCell ref="B50:C50"/>
    <mergeCell ref="B52:D52"/>
    <mergeCell ref="B73:D73"/>
    <mergeCell ref="B42:C42"/>
    <mergeCell ref="B44:C44"/>
    <mergeCell ref="B45:C45"/>
    <mergeCell ref="B46:C46"/>
    <mergeCell ref="B47:C47"/>
    <mergeCell ref="B48:C48"/>
    <mergeCell ref="B11:D11"/>
    <mergeCell ref="B13:D13"/>
    <mergeCell ref="I14:J14"/>
    <mergeCell ref="B15:F15"/>
    <mergeCell ref="B22:C22"/>
    <mergeCell ref="B32:C32"/>
    <mergeCell ref="B2:E2"/>
    <mergeCell ref="G2:I2"/>
    <mergeCell ref="B5:D5"/>
    <mergeCell ref="B7:D7"/>
    <mergeCell ref="B8:D8"/>
    <mergeCell ref="B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Morales Casiano Luz Maria</dc:creator>
  <cp:lastModifiedBy>Morales Casiano Luz Maria</cp:lastModifiedBy>
  <dcterms:created xsi:type="dcterms:W3CDTF">2025-12-15T06:22:08Z</dcterms:created>
  <dcterms:modified xsi:type="dcterms:W3CDTF">2025-12-15T06:26:08Z</dcterms:modified>
</cp:coreProperties>
</file>
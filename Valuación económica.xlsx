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9b6dbb5fc52919/Documentos/LUZ MARIA/DOC/universidad/"/>
    </mc:Choice>
  </mc:AlternateContent>
  <xr:revisionPtr revIDLastSave="0" documentId="8_{99F8BEE0-053F-46C4-A03C-6B53144CD414}" xr6:coauthVersionLast="47" xr6:coauthVersionMax="47" xr10:uidLastSave="{00000000-0000-0000-0000-000000000000}"/>
  <bookViews>
    <workbookView xWindow="-120" yWindow="-120" windowWidth="20730" windowHeight="11160" xr2:uid="{877FA429-5CEE-4C98-B111-F52461C08213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6" i="1"/>
  <c r="C35" i="1"/>
  <c r="C34" i="1"/>
  <c r="C33" i="1"/>
  <c r="D15" i="1"/>
  <c r="C15" i="1"/>
  <c r="D30" i="1" s="1"/>
  <c r="D14" i="1"/>
  <c r="C14" i="1"/>
  <c r="D29" i="1" s="1"/>
  <c r="D13" i="1"/>
  <c r="C13" i="1"/>
  <c r="D28" i="1" s="1"/>
  <c r="D12" i="1"/>
  <c r="C12" i="1"/>
  <c r="D27" i="1" s="1"/>
  <c r="D11" i="1"/>
  <c r="C11" i="1"/>
  <c r="D26" i="1" s="1"/>
  <c r="D5" i="1"/>
  <c r="D4" i="1"/>
  <c r="D19" i="1" s="1"/>
  <c r="D6" i="1" l="1"/>
  <c r="F12" i="1"/>
  <c r="F14" i="1"/>
  <c r="D25" i="1"/>
  <c r="F24" i="1" s="1"/>
  <c r="D40" i="1"/>
  <c r="F11" i="1"/>
  <c r="F13" i="1"/>
  <c r="F15" i="1"/>
  <c r="D18" i="1" l="1"/>
  <c r="D20" i="1" s="1"/>
  <c r="D37" i="1"/>
  <c r="F37" i="1" s="1"/>
  <c r="D35" i="1"/>
  <c r="F35" i="1" s="1"/>
  <c r="D33" i="1"/>
  <c r="F33" i="1" s="1"/>
  <c r="D36" i="1"/>
  <c r="F36" i="1" s="1"/>
  <c r="D34" i="1"/>
  <c r="F34" i="1" s="1"/>
  <c r="D39" i="1" l="1"/>
  <c r="D41" i="1" s="1"/>
</calcChain>
</file>

<file path=xl/sharedStrings.xml><?xml version="1.0" encoding="utf-8"?>
<sst xmlns="http://schemas.openxmlformats.org/spreadsheetml/2006/main" count="35" uniqueCount="25">
  <si>
    <t>Periodo de recuperación de la inversión</t>
  </si>
  <si>
    <t>Inversión inicial</t>
  </si>
  <si>
    <t>Flujos de efectivo</t>
  </si>
  <si>
    <t>La inversión inicial se recupera en menos de un año, lo que reduce significativamente el riesgo financiero del proyecto.</t>
  </si>
  <si>
    <t>Tiempo de recuperación</t>
  </si>
  <si>
    <t>Aprox. 10 meses</t>
  </si>
  <si>
    <t>Valor presente neto</t>
  </si>
  <si>
    <t xml:space="preserve">Año </t>
  </si>
  <si>
    <t>Flujo de efectivo</t>
  </si>
  <si>
    <t>Tasa</t>
  </si>
  <si>
    <t>Total</t>
  </si>
  <si>
    <t>Flujo Descontado</t>
  </si>
  <si>
    <t>VPN</t>
  </si>
  <si>
    <t xml:space="preserve">Flujo de Efectivo Descontado </t>
  </si>
  <si>
    <t>El Valor Presente Neto obtenido es positivo y considerablemente mayor que cero, lo que indica que el proyecto genera valor muy superior al costo de capital del 13%.</t>
  </si>
  <si>
    <t>Valor Presente Neto</t>
  </si>
  <si>
    <t>Tasa Interna de Retorno (TIR)</t>
  </si>
  <si>
    <t>Fliujos de efectivo</t>
  </si>
  <si>
    <t>TIR</t>
  </si>
  <si>
    <t>La TIR elevada se explica por la alta generación de flujos de efectivo en relación con la inversión inicial. Esto indica que el proyecto recupera rápidamente la inversión y genera rendimientos significativamente superiores al costo de capital.</t>
  </si>
  <si>
    <t>Año 1</t>
  </si>
  <si>
    <t>Año 2</t>
  </si>
  <si>
    <t>Año 3</t>
  </si>
  <si>
    <t>Año 4</t>
  </si>
  <si>
    <t>Año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</si>
</sst>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0" xfId="0" applyAlignment="1">
      <alignment horizontal="left" wrapText="1"/>
    </xf>
    <xf numFmtId="2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0" applyNumberFormat="1" applyBorder="1"/>
    <xf numFmtId="9" fontId="0" fillId="0" borderId="2" xfId="0" applyNumberFormat="1" applyBorder="1"/>
    <xf numFmtId="0" fontId="1" fillId="0" borderId="0" xfId="0" applyFont="1"/>
    <xf numFmtId="0" fontId="1" fillId="0" borderId="0" xfId="0" applyFont="1" applyAlignment="1">
      <alignment horizontal="left"/>
    </xf>
    <xf numFmtId="9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vmx-my.sharepoint.com/personal/zs22004085_estudiantes_uv_mx/Documents/Estudio%20Financiero.xlsx" TargetMode="External"/><Relationship Id="rId1" Type="http://schemas.openxmlformats.org/officeDocument/2006/relationships/externalLinkPath" Target="https://uvmx-my.sharepoint.com/personal/zs22004085_estudiantes_uv_mx/Documents/Estudio%20Financi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ticas"/>
      <sheetName val="Inversión Inicial"/>
      <sheetName val="Financiamiento"/>
      <sheetName val="Proyección de Ingresos"/>
      <sheetName val="Proyección CP"/>
      <sheetName val="Proyección GOP"/>
      <sheetName val="Gastos Financieros"/>
      <sheetName val="Determinación PV y PEQ"/>
      <sheetName val="Flujo de efectivo"/>
      <sheetName val="Estado de Resultados"/>
      <sheetName val="Balance General"/>
      <sheetName val="Valuación Economica"/>
    </sheetNames>
    <sheetDataSet>
      <sheetData sheetId="0"/>
      <sheetData sheetId="1">
        <row r="39">
          <cell r="F39">
            <v>687700</v>
          </cell>
        </row>
      </sheetData>
      <sheetData sheetId="2">
        <row r="58">
          <cell r="C58">
            <v>0.13</v>
          </cell>
        </row>
      </sheetData>
      <sheetData sheetId="3"/>
      <sheetData sheetId="4"/>
      <sheetData sheetId="5"/>
      <sheetData sheetId="6"/>
      <sheetData sheetId="7"/>
      <sheetData sheetId="8">
        <row r="38">
          <cell r="M38">
            <v>796656</v>
          </cell>
          <cell r="N38">
            <v>1033130.3599999999</v>
          </cell>
          <cell r="O38">
            <v>1429192.72</v>
          </cell>
          <cell r="P38">
            <v>2000801.8800000004</v>
          </cell>
          <cell r="Q38">
            <v>2765512.5200000014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DB33-9C70-4E13-A79E-5F2F1959633A}">
  <dimension ref="B2:L41"/>
  <sheetViews>
    <sheetView tabSelected="1" workbookViewId="0">
      <selection activeCell="H9" sqref="H9"/>
    </sheetView>
  </sheetViews>
  <sheetFormatPr baseColWidth="10" defaultRowHeight="15" x14ac:dyDescent="0.25"/>
  <cols>
    <col min="3" max="3" width="16.140625" bestFit="1" customWidth="1"/>
    <col min="4" max="4" width="14.140625" bestFit="1" customWidth="1"/>
    <col min="6" max="6" width="16.85546875" bestFit="1" customWidth="1"/>
  </cols>
  <sheetData>
    <row r="2" spans="2:12" x14ac:dyDescent="0.25">
      <c r="B2" s="1" t="s">
        <v>0</v>
      </c>
      <c r="C2" s="1"/>
      <c r="D2" s="1"/>
      <c r="E2" s="1"/>
      <c r="F2" s="1"/>
    </row>
    <row r="4" spans="2:12" x14ac:dyDescent="0.25">
      <c r="B4" s="2" t="s">
        <v>1</v>
      </c>
      <c r="C4" s="2"/>
      <c r="D4" s="3">
        <f>'[1]Inversión Inicial'!F39</f>
        <v>687700</v>
      </c>
    </row>
    <row r="5" spans="2:12" ht="15.75" thickBot="1" x14ac:dyDescent="0.3">
      <c r="B5" s="4" t="s">
        <v>2</v>
      </c>
      <c r="C5" s="4"/>
      <c r="D5" s="5">
        <f>'[1]Flujo de efectivo'!M38</f>
        <v>796656</v>
      </c>
      <c r="H5" s="6" t="s">
        <v>3</v>
      </c>
      <c r="I5" s="6"/>
      <c r="J5" s="6"/>
      <c r="K5" s="6"/>
      <c r="L5" s="6"/>
    </row>
    <row r="6" spans="2:12" x14ac:dyDescent="0.25">
      <c r="B6" s="2" t="s">
        <v>4</v>
      </c>
      <c r="C6" s="2"/>
      <c r="D6" s="7">
        <f>D4/D5</f>
        <v>0.86323331525777747</v>
      </c>
      <c r="E6" t="s">
        <v>5</v>
      </c>
      <c r="H6" s="6"/>
      <c r="I6" s="6"/>
      <c r="J6" s="6"/>
      <c r="K6" s="6"/>
      <c r="L6" s="6"/>
    </row>
    <row r="8" spans="2:12" x14ac:dyDescent="0.25">
      <c r="B8" s="1" t="s">
        <v>6</v>
      </c>
      <c r="C8" s="1"/>
      <c r="D8" s="1"/>
      <c r="E8" s="1"/>
      <c r="F8" s="1"/>
    </row>
    <row r="10" spans="2:12" x14ac:dyDescent="0.25"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</row>
    <row r="11" spans="2:12" x14ac:dyDescent="0.25">
      <c r="B11" s="9">
        <v>1</v>
      </c>
      <c r="C11" s="10">
        <f>'[1]Flujo de efectivo'!M38</f>
        <v>796656</v>
      </c>
      <c r="D11" s="11">
        <f>[1]Financiamiento!$C$58</f>
        <v>0.13</v>
      </c>
      <c r="E11" s="11">
        <v>1</v>
      </c>
      <c r="F11" s="10">
        <f>C11/(D11+E11)^B11</f>
        <v>705005.30973451328</v>
      </c>
    </row>
    <row r="12" spans="2:12" x14ac:dyDescent="0.25">
      <c r="B12" s="9">
        <v>2</v>
      </c>
      <c r="C12" s="10">
        <f>'[1]Flujo de efectivo'!N38</f>
        <v>1033130.3599999999</v>
      </c>
      <c r="D12" s="11">
        <f>[1]Financiamiento!$C$58</f>
        <v>0.13</v>
      </c>
      <c r="E12" s="11">
        <v>1</v>
      </c>
      <c r="F12" s="10">
        <f t="shared" ref="F12:F15" si="0">C12/(D12+E12)^B12</f>
        <v>809092.61492677592</v>
      </c>
    </row>
    <row r="13" spans="2:12" x14ac:dyDescent="0.25">
      <c r="B13" s="9">
        <v>3</v>
      </c>
      <c r="C13" s="10">
        <f>'[1]Flujo de efectivo'!O38</f>
        <v>1429192.72</v>
      </c>
      <c r="D13" s="11">
        <f>[1]Financiamiento!$C$58</f>
        <v>0.13</v>
      </c>
      <c r="E13" s="11">
        <v>1</v>
      </c>
      <c r="F13" s="10">
        <f t="shared" si="0"/>
        <v>990502.24652210134</v>
      </c>
    </row>
    <row r="14" spans="2:12" x14ac:dyDescent="0.25">
      <c r="B14" s="9">
        <v>4</v>
      </c>
      <c r="C14" s="10">
        <f>'[1]Flujo de efectivo'!P38</f>
        <v>2000801.8800000004</v>
      </c>
      <c r="D14" s="11">
        <f>[1]Financiamiento!$C$58</f>
        <v>0.13</v>
      </c>
      <c r="E14" s="11">
        <v>1</v>
      </c>
      <c r="F14" s="10">
        <f t="shared" si="0"/>
        <v>1227129.2633801054</v>
      </c>
    </row>
    <row r="15" spans="2:12" x14ac:dyDescent="0.25">
      <c r="B15" s="9">
        <v>5</v>
      </c>
      <c r="C15" s="10">
        <f>'[1]Flujo de efectivo'!Q38</f>
        <v>2765512.5200000014</v>
      </c>
      <c r="D15" s="11">
        <f>[1]Financiamiento!$C$58</f>
        <v>0.13</v>
      </c>
      <c r="E15" s="11">
        <v>1</v>
      </c>
      <c r="F15" s="10">
        <f t="shared" si="0"/>
        <v>1501009.3983608745</v>
      </c>
    </row>
    <row r="17" spans="2:12" x14ac:dyDescent="0.25">
      <c r="B17" s="12" t="s">
        <v>12</v>
      </c>
    </row>
    <row r="18" spans="2:12" x14ac:dyDescent="0.25">
      <c r="B18" s="2" t="s">
        <v>13</v>
      </c>
      <c r="C18" s="2"/>
      <c r="D18" s="3">
        <f>SUM(F11:F15)</f>
        <v>5232738.8329243707</v>
      </c>
      <c r="H18" s="6" t="s">
        <v>14</v>
      </c>
      <c r="I18" s="6"/>
      <c r="J18" s="6"/>
      <c r="K18" s="6"/>
      <c r="L18" s="6"/>
    </row>
    <row r="19" spans="2:12" ht="15.75" thickBot="1" x14ac:dyDescent="0.3">
      <c r="B19" s="4" t="s">
        <v>1</v>
      </c>
      <c r="C19" s="4"/>
      <c r="D19" s="5">
        <f>D4</f>
        <v>687700</v>
      </c>
      <c r="H19" s="6"/>
      <c r="I19" s="6"/>
      <c r="J19" s="6"/>
      <c r="K19" s="6"/>
      <c r="L19" s="6"/>
    </row>
    <row r="20" spans="2:12" x14ac:dyDescent="0.25">
      <c r="B20" s="2" t="s">
        <v>15</v>
      </c>
      <c r="C20" s="2"/>
      <c r="D20" s="3">
        <f>D18-D19</f>
        <v>4545038.8329243707</v>
      </c>
      <c r="H20" s="6"/>
      <c r="I20" s="6"/>
      <c r="J20" s="6"/>
      <c r="K20" s="6"/>
      <c r="L20" s="6"/>
    </row>
    <row r="22" spans="2:12" x14ac:dyDescent="0.25">
      <c r="B22" s="1" t="s">
        <v>16</v>
      </c>
      <c r="C22" s="1"/>
      <c r="D22" s="1"/>
      <c r="E22" s="1"/>
      <c r="F22" s="1"/>
    </row>
    <row r="24" spans="2:12" x14ac:dyDescent="0.25">
      <c r="B24" s="13" t="s">
        <v>17</v>
      </c>
      <c r="C24" s="13"/>
      <c r="E24" t="s">
        <v>18</v>
      </c>
      <c r="F24" s="14">
        <f>IRR(D25:D30)</f>
        <v>1.4384447085934902</v>
      </c>
      <c r="H24" s="15" t="s">
        <v>19</v>
      </c>
      <c r="I24" s="15"/>
      <c r="J24" s="15"/>
      <c r="K24" s="15"/>
      <c r="L24" s="15"/>
    </row>
    <row r="25" spans="2:12" x14ac:dyDescent="0.25">
      <c r="B25" s="13" t="s">
        <v>1</v>
      </c>
      <c r="C25" s="13"/>
      <c r="D25" s="3">
        <f>-D4</f>
        <v>-687700</v>
      </c>
      <c r="H25" s="15"/>
      <c r="I25" s="15"/>
      <c r="J25" s="15"/>
      <c r="K25" s="15"/>
      <c r="L25" s="15"/>
    </row>
    <row r="26" spans="2:12" x14ac:dyDescent="0.25">
      <c r="B26" s="16" t="s">
        <v>20</v>
      </c>
      <c r="C26" s="16"/>
      <c r="D26" s="3">
        <f>C11</f>
        <v>796656</v>
      </c>
      <c r="H26" s="15"/>
      <c r="I26" s="15"/>
      <c r="J26" s="15"/>
      <c r="K26" s="15"/>
      <c r="L26" s="15"/>
    </row>
    <row r="27" spans="2:12" x14ac:dyDescent="0.25">
      <c r="B27" s="16" t="s">
        <v>21</v>
      </c>
      <c r="C27" s="16"/>
      <c r="D27" s="3">
        <f t="shared" ref="D27:D30" si="1">C12</f>
        <v>1033130.3599999999</v>
      </c>
      <c r="H27" s="15"/>
      <c r="I27" s="15"/>
      <c r="J27" s="15"/>
      <c r="K27" s="15"/>
      <c r="L27" s="15"/>
    </row>
    <row r="28" spans="2:12" x14ac:dyDescent="0.25">
      <c r="B28" s="16" t="s">
        <v>22</v>
      </c>
      <c r="C28" s="16"/>
      <c r="D28" s="3">
        <f t="shared" si="1"/>
        <v>1429192.72</v>
      </c>
      <c r="H28" s="15"/>
      <c r="I28" s="15"/>
      <c r="J28" s="15"/>
      <c r="K28" s="15"/>
      <c r="L28" s="15"/>
    </row>
    <row r="29" spans="2:12" x14ac:dyDescent="0.25">
      <c r="B29" s="16" t="s">
        <v>23</v>
      </c>
      <c r="C29" s="16"/>
      <c r="D29" s="3">
        <f t="shared" si="1"/>
        <v>2000801.8800000004</v>
      </c>
      <c r="I29" s="17"/>
      <c r="J29" s="17"/>
      <c r="K29" s="17"/>
      <c r="L29" s="17"/>
    </row>
    <row r="30" spans="2:12" x14ac:dyDescent="0.25">
      <c r="B30" s="16" t="s">
        <v>24</v>
      </c>
      <c r="C30" s="16"/>
      <c r="D30" s="3">
        <f t="shared" si="1"/>
        <v>2765512.5200000014</v>
      </c>
      <c r="I30" s="17"/>
      <c r="J30" s="17"/>
      <c r="K30" s="17"/>
      <c r="L30" s="17"/>
    </row>
    <row r="31" spans="2:12" x14ac:dyDescent="0.25">
      <c r="B31" s="18"/>
      <c r="C31" s="18"/>
      <c r="D31" s="3"/>
      <c r="I31" s="17"/>
      <c r="J31" s="17"/>
      <c r="K31" s="17"/>
      <c r="L31" s="17"/>
    </row>
    <row r="32" spans="2:12" x14ac:dyDescent="0.25">
      <c r="B32" s="8" t="s">
        <v>7</v>
      </c>
      <c r="C32" s="8" t="s">
        <v>8</v>
      </c>
      <c r="D32" s="8" t="s">
        <v>9</v>
      </c>
      <c r="E32" s="8" t="s">
        <v>10</v>
      </c>
      <c r="F32" s="8" t="s">
        <v>11</v>
      </c>
      <c r="I32" s="17"/>
      <c r="J32" s="17"/>
      <c r="K32" s="17"/>
      <c r="L32" s="17"/>
    </row>
    <row r="33" spans="2:12" x14ac:dyDescent="0.25">
      <c r="B33" s="9">
        <v>1</v>
      </c>
      <c r="C33" s="10">
        <f>'[1]Flujo de efectivo'!M38</f>
        <v>796656</v>
      </c>
      <c r="D33" s="11">
        <f>$F$24</f>
        <v>1.4384447085934902</v>
      </c>
      <c r="E33" s="11">
        <v>1</v>
      </c>
      <c r="F33" s="10">
        <f>C33/(D33+E33)^B33</f>
        <v>326706.60818859248</v>
      </c>
      <c r="I33" s="17"/>
      <c r="J33" s="17"/>
      <c r="K33" s="17"/>
      <c r="L33" s="17"/>
    </row>
    <row r="34" spans="2:12" x14ac:dyDescent="0.25">
      <c r="B34" s="9">
        <v>2</v>
      </c>
      <c r="C34" s="10">
        <f>'[1]Flujo de efectivo'!N38</f>
        <v>1033130.3599999999</v>
      </c>
      <c r="D34" s="11">
        <f t="shared" ref="D34:D37" si="2">$F$24</f>
        <v>1.4384447085934902</v>
      </c>
      <c r="E34" s="11">
        <v>1</v>
      </c>
      <c r="F34" s="10">
        <f t="shared" ref="F34:F37" si="3">C34/(D34+E34)^B34</f>
        <v>173751.79469755269</v>
      </c>
      <c r="I34" s="17"/>
      <c r="J34" s="17"/>
      <c r="K34" s="17"/>
      <c r="L34" s="17"/>
    </row>
    <row r="35" spans="2:12" x14ac:dyDescent="0.25">
      <c r="B35" s="9">
        <v>3</v>
      </c>
      <c r="C35" s="10">
        <f>'[1]Flujo de efectivo'!O38</f>
        <v>1429192.72</v>
      </c>
      <c r="D35" s="11">
        <f t="shared" si="2"/>
        <v>1.4384447085934902</v>
      </c>
      <c r="E35" s="11">
        <v>1</v>
      </c>
      <c r="F35" s="10">
        <f t="shared" si="3"/>
        <v>98571.657174982291</v>
      </c>
      <c r="I35" s="17"/>
      <c r="J35" s="17"/>
      <c r="K35" s="17"/>
      <c r="L35" s="17"/>
    </row>
    <row r="36" spans="2:12" x14ac:dyDescent="0.25">
      <c r="B36" s="9">
        <v>4</v>
      </c>
      <c r="C36" s="10">
        <f>'[1]Flujo de efectivo'!P38</f>
        <v>2000801.8800000004</v>
      </c>
      <c r="D36" s="11">
        <f t="shared" si="2"/>
        <v>1.4384447085934902</v>
      </c>
      <c r="E36" s="11">
        <v>1</v>
      </c>
      <c r="F36" s="10">
        <f t="shared" si="3"/>
        <v>56591.660476578742</v>
      </c>
      <c r="I36" s="17"/>
      <c r="J36" s="17"/>
      <c r="K36" s="17"/>
      <c r="L36" s="17"/>
    </row>
    <row r="37" spans="2:12" x14ac:dyDescent="0.25">
      <c r="B37" s="9">
        <v>5</v>
      </c>
      <c r="C37" s="10">
        <f>'[1]Flujo de efectivo'!Q38</f>
        <v>2765512.5200000014</v>
      </c>
      <c r="D37" s="11">
        <f t="shared" si="2"/>
        <v>1.4384447085934902</v>
      </c>
      <c r="E37" s="11">
        <v>1</v>
      </c>
      <c r="F37" s="10">
        <f t="shared" si="3"/>
        <v>32078.279462293762</v>
      </c>
      <c r="I37" s="17"/>
      <c r="J37" s="17"/>
      <c r="K37" s="17"/>
      <c r="L37" s="17"/>
    </row>
    <row r="38" spans="2:12" x14ac:dyDescent="0.25">
      <c r="B38" s="18"/>
      <c r="C38" s="18"/>
      <c r="D38" s="3"/>
      <c r="I38" s="17"/>
      <c r="J38" s="17"/>
      <c r="K38" s="17"/>
      <c r="L38" s="17"/>
    </row>
    <row r="39" spans="2:12" x14ac:dyDescent="0.25">
      <c r="B39" s="2" t="s">
        <v>13</v>
      </c>
      <c r="C39" s="2"/>
      <c r="D39" s="3">
        <f>SUM(F33:F37)</f>
        <v>687699.99999999988</v>
      </c>
      <c r="I39" s="17"/>
      <c r="J39" s="17"/>
      <c r="K39" s="17"/>
      <c r="L39" s="17"/>
    </row>
    <row r="40" spans="2:12" ht="15.75" thickBot="1" x14ac:dyDescent="0.3">
      <c r="B40" s="4" t="s">
        <v>1</v>
      </c>
      <c r="C40" s="4"/>
      <c r="D40" s="5">
        <f>D4</f>
        <v>687700</v>
      </c>
      <c r="I40" s="17"/>
      <c r="J40" s="17"/>
      <c r="K40" s="17"/>
      <c r="L40" s="17"/>
    </row>
    <row r="41" spans="2:12" x14ac:dyDescent="0.25">
      <c r="B41" s="2" t="s">
        <v>15</v>
      </c>
      <c r="C41" s="2"/>
      <c r="D41" s="3">
        <f>D39-D40</f>
        <v>0</v>
      </c>
    </row>
  </sheetData>
  <mergeCells count="22">
    <mergeCell ref="B28:C28"/>
    <mergeCell ref="B29:C29"/>
    <mergeCell ref="B30:C30"/>
    <mergeCell ref="B39:C39"/>
    <mergeCell ref="B40:C40"/>
    <mergeCell ref="B41:C41"/>
    <mergeCell ref="B18:C18"/>
    <mergeCell ref="H18:L20"/>
    <mergeCell ref="B19:C19"/>
    <mergeCell ref="B20:C20"/>
    <mergeCell ref="B22:F22"/>
    <mergeCell ref="B24:C24"/>
    <mergeCell ref="H24:L28"/>
    <mergeCell ref="B25:C25"/>
    <mergeCell ref="B26:C26"/>
    <mergeCell ref="B27:C27"/>
    <mergeCell ref="B2:F2"/>
    <mergeCell ref="B4:C4"/>
    <mergeCell ref="B5:C5"/>
    <mergeCell ref="H5:L6"/>
    <mergeCell ref="B6:C6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Casiano Luz Maria</dc:creator>
  <cp:lastModifiedBy>Morales Casiano Luz Maria</cp:lastModifiedBy>
  <dcterms:created xsi:type="dcterms:W3CDTF">2025-12-15T05:54:58Z</dcterms:created>
  <dcterms:modified xsi:type="dcterms:W3CDTF">2025-12-15T06:20:09Z</dcterms:modified>
</cp:coreProperties>
</file>
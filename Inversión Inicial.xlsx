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b6dbb5fc52919/Documentos/LUZ MARIA/DOC/universidad/"/>
    </mc:Choice>
  </mc:AlternateContent>
  <xr:revisionPtr revIDLastSave="1" documentId="8_{9AD876E0-68AA-4911-A0E4-E74F04958F31}" xr6:coauthVersionLast="47" xr6:coauthVersionMax="47" xr10:uidLastSave="{6AB5F550-C570-4400-BF8A-62D57CB1B408}"/>
  <bookViews>
    <workbookView xWindow="-120" yWindow="-120" windowWidth="20730" windowHeight="11160" firstSheet="1" activeTab="1" xr2:uid="{2C27C6FA-883C-4D9F-B54F-FB1DAA220EF4}"/>
  </bookViews>
  <sheets>
    <sheet name="Políticas" sheetId="4" state="hidden" r:id="rId1"/>
    <sheet name="Inversión Inicial" sheetId="1" r:id="rId2"/>
    <sheet name="Depreciación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C30" i="3" l="1"/>
  <c r="C31" i="3"/>
  <c r="C32" i="3"/>
  <c r="C33" i="3"/>
  <c r="C29" i="3"/>
  <c r="D25" i="3"/>
  <c r="C25" i="3"/>
  <c r="B25" i="3"/>
  <c r="D29" i="3"/>
  <c r="D30" i="3" s="1"/>
  <c r="D28" i="3"/>
  <c r="E21" i="3"/>
  <c r="E16" i="3"/>
  <c r="E17" i="3"/>
  <c r="E18" i="3"/>
  <c r="E19" i="3"/>
  <c r="E20" i="3"/>
  <c r="E14" i="3"/>
  <c r="E15" i="3"/>
  <c r="E9" i="3"/>
  <c r="C9" i="3"/>
  <c r="F38" i="1"/>
  <c r="F37" i="1"/>
  <c r="F36" i="1"/>
  <c r="C46" i="1"/>
  <c r="C39" i="1"/>
  <c r="F12" i="1"/>
  <c r="F11" i="1"/>
  <c r="F10" i="1"/>
  <c r="C29" i="1"/>
  <c r="C17" i="1"/>
  <c r="D31" i="3" l="1"/>
  <c r="D32" i="3" s="1"/>
  <c r="D33" i="3" s="1"/>
</calcChain>
</file>

<file path=xl/sharedStrings.xml><?xml version="1.0" encoding="utf-8"?>
<sst xmlns="http://schemas.openxmlformats.org/spreadsheetml/2006/main" count="83" uniqueCount="68">
  <si>
    <t>Basado en costos comercial en México 2024- 2025</t>
  </si>
  <si>
    <t>Concepto</t>
  </si>
  <si>
    <t>Monto</t>
  </si>
  <si>
    <t>Construcción base (40 m² × $10,500/m²)</t>
  </si>
  <si>
    <t>Instalación eléctrica reforzada</t>
  </si>
  <si>
    <t>Instalación hidrosanitaria</t>
  </si>
  <si>
    <t>Aire acondicionado / ventilación</t>
  </si>
  <si>
    <t>Acabados comerciales (piso, pintura, muros)</t>
  </si>
  <si>
    <t>Fachada y herrería</t>
  </si>
  <si>
    <t>Accesibilidad, rampas, señalización</t>
  </si>
  <si>
    <t>Permisos de obra y licencias</t>
  </si>
  <si>
    <t>Mano de obra y honorarios</t>
  </si>
  <si>
    <t>Total Construcción</t>
  </si>
  <si>
    <t>A) Construcción del local comercial (Realista)</t>
  </si>
  <si>
    <t>B) Activo Fijo Operativo</t>
  </si>
  <si>
    <t>Equipo de cómputo</t>
  </si>
  <si>
    <t>Impresoras (blanco y negro + color)</t>
  </si>
  <si>
    <t>Mobiliario (mostrador, sillas, escritorios, estantes)</t>
  </si>
  <si>
    <t>Caja registradora / POS</t>
  </si>
  <si>
    <t>Cámaras de seguridad</t>
  </si>
  <si>
    <t>Contenedores reciclaje</t>
  </si>
  <si>
    <t>Señalética adicional</t>
  </si>
  <si>
    <t>Total Activo Operativo</t>
  </si>
  <si>
    <t xml:space="preserve">Total </t>
  </si>
  <si>
    <t>Total activo fijo actualizado</t>
  </si>
  <si>
    <t xml:space="preserve">Rubro </t>
  </si>
  <si>
    <t xml:space="preserve">Construcción </t>
  </si>
  <si>
    <t xml:space="preserve">Activo Operativo </t>
  </si>
  <si>
    <t xml:space="preserve">Total activo fijo </t>
  </si>
  <si>
    <t xml:space="preserve">1. Activo Fijo </t>
  </si>
  <si>
    <t>Adecuaciones adicionales</t>
  </si>
  <si>
    <t>Depósito de renta</t>
  </si>
  <si>
    <t>Licencias y permisos</t>
  </si>
  <si>
    <t>Publicidad inicial</t>
  </si>
  <si>
    <t>Capacitación inicial</t>
  </si>
  <si>
    <t>3. Capital de Trabajo</t>
  </si>
  <si>
    <t>Inventario inicial</t>
  </si>
  <si>
    <t>Efectivo operativo</t>
  </si>
  <si>
    <t>2. Activo Diferido</t>
  </si>
  <si>
    <t xml:space="preserve">Inversión Total Actualizada </t>
  </si>
  <si>
    <t>Activo Fijo</t>
  </si>
  <si>
    <t>Activo Diferido</t>
  </si>
  <si>
    <t xml:space="preserve">Capital de Trabajo </t>
  </si>
  <si>
    <t>Depreciaciones Actualizadas (5 años)</t>
  </si>
  <si>
    <t>Método: línea recta</t>
  </si>
  <si>
    <t>Basado en Ley del ISR México.</t>
  </si>
  <si>
    <t>A) Depreciación del edificio</t>
  </si>
  <si>
    <t>Valor</t>
  </si>
  <si>
    <t>Vida útil</t>
  </si>
  <si>
    <t>Depreciación anual</t>
  </si>
  <si>
    <t>Construcción</t>
  </si>
  <si>
    <t>20 años</t>
  </si>
  <si>
    <t>B) Depreciación del resto del activo fijo</t>
  </si>
  <si>
    <t>Activo</t>
  </si>
  <si>
    <t>Equipo cómputo</t>
  </si>
  <si>
    <t>Impresoras</t>
  </si>
  <si>
    <t>Mobiliario</t>
  </si>
  <si>
    <t>POS</t>
  </si>
  <si>
    <t>Cámaras</t>
  </si>
  <si>
    <t>Contenedores</t>
  </si>
  <si>
    <t>Señalética</t>
  </si>
  <si>
    <t xml:space="preserve">Depreciación anual operativo </t>
  </si>
  <si>
    <t>C) Depreciación Anual Total (Actualizada)</t>
  </si>
  <si>
    <t>Año</t>
  </si>
  <si>
    <t>Depreciación</t>
  </si>
  <si>
    <t>Valor neto</t>
  </si>
  <si>
    <t>—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</si>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</sst>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44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6" fontId="3" fillId="0" borderId="1" xfId="0" applyNumberFormat="1" applyFont="1" applyBorder="1" applyAlignment="1">
      <alignment vertical="center" wrapText="1"/>
    </xf>
    <xf numFmtId="44" fontId="3" fillId="0" borderId="1" xfId="0" applyNumberFormat="1" applyFont="1" applyBorder="1"/>
    <xf numFmtId="0" fontId="3" fillId="0" borderId="1" xfId="0" applyFont="1" applyBorder="1"/>
    <xf numFmtId="0" fontId="2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44" fontId="0" fillId="0" borderId="0" xfId="0" applyNumberFormat="1"/>
    <xf numFmtId="0" fontId="3" fillId="0" borderId="3" xfId="0" applyFont="1" applyBorder="1"/>
    <xf numFmtId="44" fontId="3" fillId="0" borderId="3" xfId="0" applyNumberFormat="1" applyFont="1" applyBorder="1"/>
    <xf numFmtId="0" fontId="3" fillId="0" borderId="2" xfId="0" applyFont="1" applyBorder="1"/>
    <xf numFmtId="44" fontId="3" fillId="0" borderId="2" xfId="0" applyNumberFormat="1" applyFont="1" applyBorder="1"/>
    <xf numFmtId="0" fontId="3" fillId="0" borderId="3" xfId="0" applyFont="1" applyBorder="1" applyAlignment="1">
      <alignment wrapText="1"/>
    </xf>
    <xf numFmtId="44" fontId="3" fillId="0" borderId="3" xfId="1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44" fontId="3" fillId="0" borderId="2" xfId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0" xfId="0" applyFont="1"/>
    <xf numFmtId="0" fontId="3" fillId="0" borderId="2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3" xfId="0" applyFont="1" applyBorder="1" applyAlignment="1">
      <alignment vertical="top"/>
    </xf>
    <xf numFmtId="6" fontId="3" fillId="0" borderId="2" xfId="0" applyNumberFormat="1" applyFont="1" applyBorder="1" applyAlignment="1">
      <alignment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44" fontId="3" fillId="0" borderId="1" xfId="1" applyFont="1" applyBorder="1" applyAlignment="1">
      <alignment vertical="top" wrapText="1"/>
    </xf>
    <xf numFmtId="6" fontId="2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/>
    <xf numFmtId="0" fontId="3" fillId="0" borderId="2" xfId="0" applyFont="1" applyBorder="1" applyAlignment="1">
      <alignment horizontal="center" vertical="center" wrapText="1"/>
    </xf>
    <xf numFmtId="8" fontId="0" fillId="0" borderId="0" xfId="0" applyNumberFormat="1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8" fontId="3" fillId="0" borderId="1" xfId="1" applyNumberFormat="1" applyFont="1" applyBorder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80EB-03E0-44AE-8FAD-4BB2C437E084}">
  <dimension ref="A1"/>
  <sheetViews>
    <sheetView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A1DB-B477-458C-91A9-73974A97A5C7}">
  <dimension ref="B2:H46"/>
  <sheetViews>
    <sheetView tabSelected="1" zoomScale="96" zoomScaleNormal="96" workbookViewId="0">
      <selection activeCell="H11" sqref="H11"/>
    </sheetView>
  </sheetViews>
  <sheetFormatPr baseColWidth="10" defaultRowHeight="15" x14ac:dyDescent="0.25"/>
  <cols>
    <col min="2" max="2" width="51.7109375" customWidth="1"/>
    <col min="3" max="3" width="18.140625" customWidth="1"/>
    <col min="5" max="5" width="20.42578125" bestFit="1" customWidth="1"/>
    <col min="6" max="6" width="15.42578125" bestFit="1" customWidth="1"/>
  </cols>
  <sheetData>
    <row r="2" spans="2:8" ht="15.75" x14ac:dyDescent="0.25">
      <c r="B2" s="21" t="s">
        <v>29</v>
      </c>
    </row>
    <row r="4" spans="2:8" x14ac:dyDescent="0.25">
      <c r="B4" s="42" t="s">
        <v>13</v>
      </c>
      <c r="C4" s="42"/>
      <c r="D4" s="42"/>
      <c r="E4" s="42"/>
    </row>
    <row r="5" spans="2:8" x14ac:dyDescent="0.25">
      <c r="B5" s="43" t="s">
        <v>0</v>
      </c>
      <c r="C5" s="43"/>
      <c r="D5" s="43"/>
      <c r="E5" s="43"/>
    </row>
    <row r="7" spans="2:8" ht="18" customHeight="1" x14ac:dyDescent="0.25">
      <c r="B7" s="1" t="s">
        <v>1</v>
      </c>
      <c r="C7" s="1" t="s">
        <v>2</v>
      </c>
      <c r="E7" s="44" t="s">
        <v>24</v>
      </c>
      <c r="F7" s="44"/>
      <c r="G7" s="9"/>
      <c r="H7" s="9" t="s">
        <v>67</v>
      </c>
    </row>
    <row r="8" spans="2:8" ht="16.5" customHeight="1" x14ac:dyDescent="0.25">
      <c r="B8" s="2" t="s">
        <v>3</v>
      </c>
      <c r="C8" s="3">
        <v>420000</v>
      </c>
    </row>
    <row r="9" spans="2:8" ht="15.75" x14ac:dyDescent="0.25">
      <c r="B9" s="2" t="s">
        <v>4</v>
      </c>
      <c r="C9" s="3">
        <v>25000</v>
      </c>
      <c r="E9" s="27" t="s">
        <v>25</v>
      </c>
      <c r="F9" s="27" t="s">
        <v>2</v>
      </c>
    </row>
    <row r="10" spans="2:8" ht="15.75" x14ac:dyDescent="0.25">
      <c r="B10" s="2" t="s">
        <v>5</v>
      </c>
      <c r="C10" s="3">
        <v>15000</v>
      </c>
      <c r="E10" s="7" t="s">
        <v>26</v>
      </c>
      <c r="F10" s="6">
        <f>C17</f>
        <v>583000</v>
      </c>
    </row>
    <row r="11" spans="2:8" ht="16.5" thickBot="1" x14ac:dyDescent="0.3">
      <c r="B11" s="2" t="s">
        <v>6</v>
      </c>
      <c r="C11" s="3">
        <v>18000</v>
      </c>
      <c r="E11" s="14" t="s">
        <v>27</v>
      </c>
      <c r="F11" s="15">
        <f>C29</f>
        <v>69200</v>
      </c>
    </row>
    <row r="12" spans="2:8" ht="15.75" x14ac:dyDescent="0.25">
      <c r="B12" s="10" t="s">
        <v>7</v>
      </c>
      <c r="C12" s="3">
        <v>30000</v>
      </c>
      <c r="E12" s="12" t="s">
        <v>28</v>
      </c>
      <c r="F12" s="13">
        <f>SUM(F10:F11)</f>
        <v>652200</v>
      </c>
    </row>
    <row r="13" spans="2:8" ht="15.75" x14ac:dyDescent="0.25">
      <c r="B13" s="2" t="s">
        <v>8</v>
      </c>
      <c r="C13" s="3">
        <v>35000</v>
      </c>
    </row>
    <row r="14" spans="2:8" ht="15.75" x14ac:dyDescent="0.25">
      <c r="B14" s="2" t="s">
        <v>9</v>
      </c>
      <c r="C14" s="3">
        <v>8000</v>
      </c>
    </row>
    <row r="15" spans="2:8" ht="15.75" x14ac:dyDescent="0.25">
      <c r="B15" s="2" t="s">
        <v>10</v>
      </c>
      <c r="C15" s="3">
        <v>7000</v>
      </c>
    </row>
    <row r="16" spans="2:8" ht="16.5" thickBot="1" x14ac:dyDescent="0.3">
      <c r="B16" s="18" t="s">
        <v>11</v>
      </c>
      <c r="C16" s="19">
        <v>25000</v>
      </c>
    </row>
    <row r="17" spans="2:3" ht="15.75" x14ac:dyDescent="0.25">
      <c r="B17" s="16" t="s">
        <v>12</v>
      </c>
      <c r="C17" s="17">
        <f>SUM(C8:C16)</f>
        <v>583000</v>
      </c>
    </row>
    <row r="19" spans="2:3" ht="15.75" x14ac:dyDescent="0.25">
      <c r="B19" s="8" t="s">
        <v>14</v>
      </c>
    </row>
    <row r="21" spans="2:3" ht="15.75" x14ac:dyDescent="0.25">
      <c r="B21" s="1" t="s">
        <v>1</v>
      </c>
      <c r="C21" s="1" t="s">
        <v>2</v>
      </c>
    </row>
    <row r="22" spans="2:3" x14ac:dyDescent="0.25">
      <c r="B22" s="4" t="s">
        <v>15</v>
      </c>
      <c r="C22" s="3">
        <v>12000</v>
      </c>
    </row>
    <row r="23" spans="2:3" x14ac:dyDescent="0.25">
      <c r="B23" s="4" t="s">
        <v>16</v>
      </c>
      <c r="C23" s="3">
        <v>24000</v>
      </c>
    </row>
    <row r="24" spans="2:3" x14ac:dyDescent="0.25">
      <c r="B24" s="10" t="s">
        <v>17</v>
      </c>
      <c r="C24" s="3">
        <v>17600</v>
      </c>
    </row>
    <row r="25" spans="2:3" x14ac:dyDescent="0.25">
      <c r="B25" s="4" t="s">
        <v>18</v>
      </c>
      <c r="C25" s="3">
        <v>5500</v>
      </c>
    </row>
    <row r="26" spans="2:3" x14ac:dyDescent="0.25">
      <c r="B26" s="4" t="s">
        <v>19</v>
      </c>
      <c r="C26" s="3">
        <v>3000</v>
      </c>
    </row>
    <row r="27" spans="2:3" x14ac:dyDescent="0.25">
      <c r="B27" s="4" t="s">
        <v>20</v>
      </c>
      <c r="C27" s="3">
        <v>3600</v>
      </c>
    </row>
    <row r="28" spans="2:3" ht="15.75" thickBot="1" x14ac:dyDescent="0.3">
      <c r="B28" s="20" t="s">
        <v>21</v>
      </c>
      <c r="C28" s="19">
        <v>3500</v>
      </c>
    </row>
    <row r="29" spans="2:3" ht="15.75" x14ac:dyDescent="0.25">
      <c r="B29" s="12" t="s">
        <v>22</v>
      </c>
      <c r="C29" s="13">
        <f>SUM(C22:C28)</f>
        <v>69200</v>
      </c>
    </row>
    <row r="31" spans="2:3" ht="15.75" x14ac:dyDescent="0.25">
      <c r="B31" s="21" t="s">
        <v>38</v>
      </c>
    </row>
    <row r="33" spans="2:7" ht="15.75" x14ac:dyDescent="0.25">
      <c r="B33" s="1" t="s">
        <v>1</v>
      </c>
      <c r="C33" s="1" t="s">
        <v>2</v>
      </c>
      <c r="E33" s="44" t="s">
        <v>39</v>
      </c>
      <c r="F33" s="44"/>
      <c r="G33" s="26"/>
    </row>
    <row r="34" spans="2:7" x14ac:dyDescent="0.25">
      <c r="B34" s="10" t="s">
        <v>30</v>
      </c>
      <c r="C34" s="3">
        <v>7000</v>
      </c>
    </row>
    <row r="35" spans="2:7" ht="15.75" x14ac:dyDescent="0.25">
      <c r="B35" s="10" t="s">
        <v>31</v>
      </c>
      <c r="C35" s="3">
        <v>4000</v>
      </c>
      <c r="E35" s="27" t="s">
        <v>25</v>
      </c>
      <c r="F35" s="27" t="s">
        <v>2</v>
      </c>
    </row>
    <row r="36" spans="2:7" ht="15.75" x14ac:dyDescent="0.25">
      <c r="B36" s="10" t="s">
        <v>32</v>
      </c>
      <c r="C36" s="3">
        <v>2000</v>
      </c>
      <c r="E36" s="7" t="s">
        <v>40</v>
      </c>
      <c r="F36" s="6">
        <f>F12</f>
        <v>652200</v>
      </c>
    </row>
    <row r="37" spans="2:7" ht="15.75" x14ac:dyDescent="0.25">
      <c r="B37" s="10" t="s">
        <v>33</v>
      </c>
      <c r="C37" s="3">
        <v>3000</v>
      </c>
      <c r="E37" s="7" t="s">
        <v>41</v>
      </c>
      <c r="F37" s="6">
        <f>C39</f>
        <v>17500</v>
      </c>
    </row>
    <row r="38" spans="2:7" ht="16.5" thickBot="1" x14ac:dyDescent="0.3">
      <c r="B38" s="22" t="s">
        <v>34</v>
      </c>
      <c r="C38" s="19">
        <v>1500</v>
      </c>
      <c r="E38" s="14" t="s">
        <v>42</v>
      </c>
      <c r="F38" s="15">
        <f>C46</f>
        <v>18000</v>
      </c>
    </row>
    <row r="39" spans="2:7" ht="15.75" x14ac:dyDescent="0.25">
      <c r="B39" s="16" t="s">
        <v>23</v>
      </c>
      <c r="C39" s="17">
        <f>SUM(C34:C38)</f>
        <v>17500</v>
      </c>
      <c r="E39" s="12" t="s">
        <v>28</v>
      </c>
      <c r="F39" s="13">
        <f>SUM(F36:F38)</f>
        <v>687700</v>
      </c>
    </row>
    <row r="41" spans="2:7" ht="15.75" x14ac:dyDescent="0.25">
      <c r="B41" s="23" t="s">
        <v>35</v>
      </c>
    </row>
    <row r="43" spans="2:7" ht="15.75" x14ac:dyDescent="0.25">
      <c r="B43" s="1" t="s">
        <v>1</v>
      </c>
      <c r="C43" s="1" t="s">
        <v>2</v>
      </c>
    </row>
    <row r="44" spans="2:7" x14ac:dyDescent="0.25">
      <c r="B44" s="4" t="s">
        <v>36</v>
      </c>
      <c r="C44" s="5">
        <v>15000</v>
      </c>
    </row>
    <row r="45" spans="2:7" ht="15.75" thickBot="1" x14ac:dyDescent="0.3">
      <c r="B45" s="20" t="s">
        <v>37</v>
      </c>
      <c r="C45" s="25">
        <v>3000</v>
      </c>
    </row>
    <row r="46" spans="2:7" ht="15.75" x14ac:dyDescent="0.25">
      <c r="B46" s="24" t="s">
        <v>22</v>
      </c>
      <c r="C46" s="13">
        <f>SUM(C44:C45)</f>
        <v>18000</v>
      </c>
    </row>
  </sheetData>
  <mergeCells count="4">
    <mergeCell ref="B4:E4"/>
    <mergeCell ref="B5:E5"/>
    <mergeCell ref="E33:F33"/>
    <mergeCell ref="E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8D64-9D02-4C3C-B01C-5F7270D30F12}">
  <dimension ref="B2:F33"/>
  <sheetViews>
    <sheetView workbookViewId="0">
      <selection activeCell="G24" sqref="G24"/>
    </sheetView>
  </sheetViews>
  <sheetFormatPr baseColWidth="10" defaultRowHeight="15" x14ac:dyDescent="0.25"/>
  <cols>
    <col min="2" max="2" width="36.42578125" customWidth="1"/>
    <col min="3" max="3" width="16.85546875" customWidth="1"/>
    <col min="4" max="4" width="15.140625" bestFit="1" customWidth="1"/>
    <col min="5" max="5" width="23.140625" customWidth="1"/>
  </cols>
  <sheetData>
    <row r="2" spans="2:6" ht="15.75" x14ac:dyDescent="0.25">
      <c r="B2" s="45" t="s">
        <v>43</v>
      </c>
      <c r="C2" s="45"/>
      <c r="D2" s="45"/>
      <c r="E2" s="45"/>
    </row>
    <row r="4" spans="2:6" x14ac:dyDescent="0.25">
      <c r="B4" s="28" t="s">
        <v>44</v>
      </c>
    </row>
    <row r="5" spans="2:6" ht="15.75" x14ac:dyDescent="0.25">
      <c r="B5" s="33" t="s">
        <v>45</v>
      </c>
    </row>
    <row r="6" spans="2:6" x14ac:dyDescent="0.25">
      <c r="B6" s="28"/>
    </row>
    <row r="7" spans="2:6" ht="15.75" x14ac:dyDescent="0.25">
      <c r="B7" s="46" t="s">
        <v>46</v>
      </c>
      <c r="C7" s="46"/>
      <c r="D7" s="46"/>
      <c r="E7" s="46"/>
      <c r="F7" s="29"/>
    </row>
    <row r="8" spans="2:6" ht="15.75" x14ac:dyDescent="0.25">
      <c r="B8" s="32" t="s">
        <v>1</v>
      </c>
      <c r="C8" s="32" t="s">
        <v>47</v>
      </c>
      <c r="D8" s="32" t="s">
        <v>48</v>
      </c>
      <c r="E8" s="32" t="s">
        <v>49</v>
      </c>
    </row>
    <row r="9" spans="2:6" ht="15.75" x14ac:dyDescent="0.25">
      <c r="B9" s="10" t="s">
        <v>50</v>
      </c>
      <c r="C9" s="30">
        <f>'Inversión Inicial'!C17</f>
        <v>583000</v>
      </c>
      <c r="D9" s="10" t="s">
        <v>51</v>
      </c>
      <c r="E9" s="31">
        <f>C9/20</f>
        <v>29150</v>
      </c>
    </row>
    <row r="11" spans="2:6" ht="15.75" x14ac:dyDescent="0.25">
      <c r="B11" s="45" t="s">
        <v>52</v>
      </c>
      <c r="C11" s="45"/>
      <c r="D11" s="45"/>
    </row>
    <row r="13" spans="2:6" ht="15.75" x14ac:dyDescent="0.25">
      <c r="B13" s="1" t="s">
        <v>53</v>
      </c>
      <c r="C13" s="1" t="s">
        <v>2</v>
      </c>
      <c r="D13" s="1" t="s">
        <v>48</v>
      </c>
      <c r="E13" s="1" t="s">
        <v>49</v>
      </c>
    </row>
    <row r="14" spans="2:6" x14ac:dyDescent="0.25">
      <c r="B14" s="4" t="s">
        <v>54</v>
      </c>
      <c r="C14" s="3">
        <v>12000</v>
      </c>
      <c r="D14" s="34">
        <v>3</v>
      </c>
      <c r="E14" s="3">
        <f>C14/D14</f>
        <v>4000</v>
      </c>
    </row>
    <row r="15" spans="2:6" ht="18" customHeight="1" x14ac:dyDescent="0.25">
      <c r="B15" s="4" t="s">
        <v>55</v>
      </c>
      <c r="C15" s="3">
        <v>24000</v>
      </c>
      <c r="D15" s="34">
        <v>3</v>
      </c>
      <c r="E15" s="3">
        <f>C15/D15</f>
        <v>8000</v>
      </c>
    </row>
    <row r="16" spans="2:6" x14ac:dyDescent="0.25">
      <c r="B16" s="4" t="s">
        <v>56</v>
      </c>
      <c r="C16" s="3">
        <v>17600</v>
      </c>
      <c r="D16" s="34">
        <v>10</v>
      </c>
      <c r="E16" s="3">
        <f t="shared" ref="E16:E20" si="0">C16/D16</f>
        <v>1760</v>
      </c>
    </row>
    <row r="17" spans="2:5" x14ac:dyDescent="0.25">
      <c r="B17" s="4" t="s">
        <v>57</v>
      </c>
      <c r="C17" s="3">
        <v>5500</v>
      </c>
      <c r="D17" s="34">
        <v>10</v>
      </c>
      <c r="E17" s="3">
        <f t="shared" si="0"/>
        <v>550</v>
      </c>
    </row>
    <row r="18" spans="2:5" x14ac:dyDescent="0.25">
      <c r="B18" s="4" t="s">
        <v>58</v>
      </c>
      <c r="C18" s="3">
        <v>3000</v>
      </c>
      <c r="D18" s="34">
        <v>10</v>
      </c>
      <c r="E18" s="3">
        <f t="shared" si="0"/>
        <v>300</v>
      </c>
    </row>
    <row r="19" spans="2:5" x14ac:dyDescent="0.25">
      <c r="B19" s="4" t="s">
        <v>59</v>
      </c>
      <c r="C19" s="3">
        <v>3600</v>
      </c>
      <c r="D19" s="34">
        <v>10</v>
      </c>
      <c r="E19" s="3">
        <f t="shared" si="0"/>
        <v>360</v>
      </c>
    </row>
    <row r="20" spans="2:5" ht="15.75" thickBot="1" x14ac:dyDescent="0.3">
      <c r="B20" s="20" t="s">
        <v>60</v>
      </c>
      <c r="C20" s="19">
        <v>3500</v>
      </c>
      <c r="D20" s="37">
        <v>10</v>
      </c>
      <c r="E20" s="19">
        <f t="shared" si="0"/>
        <v>350</v>
      </c>
    </row>
    <row r="21" spans="2:5" ht="15.75" x14ac:dyDescent="0.25">
      <c r="B21" s="35" t="s">
        <v>61</v>
      </c>
      <c r="C21" s="13"/>
      <c r="D21" s="36"/>
      <c r="E21" s="13">
        <f>SUM(E14:E20)</f>
        <v>15320</v>
      </c>
    </row>
    <row r="23" spans="2:5" ht="15.75" x14ac:dyDescent="0.25">
      <c r="B23" s="45" t="s">
        <v>62</v>
      </c>
      <c r="C23" s="45"/>
      <c r="D23" s="45"/>
    </row>
    <row r="25" spans="2:5" x14ac:dyDescent="0.25">
      <c r="B25" s="38">
        <f>E9</f>
        <v>29150</v>
      </c>
      <c r="C25" s="11">
        <f>E21</f>
        <v>15320</v>
      </c>
      <c r="D25" s="38">
        <f>B25+C25</f>
        <v>44470</v>
      </c>
    </row>
    <row r="27" spans="2:5" ht="15.75" x14ac:dyDescent="0.25">
      <c r="B27" s="39" t="s">
        <v>63</v>
      </c>
      <c r="C27" s="39" t="s">
        <v>64</v>
      </c>
      <c r="D27" s="39" t="s">
        <v>65</v>
      </c>
    </row>
    <row r="28" spans="2:5" x14ac:dyDescent="0.25">
      <c r="B28" s="40">
        <v>0</v>
      </c>
      <c r="C28" s="30" t="s">
        <v>66</v>
      </c>
      <c r="D28" s="30">
        <f>'Inversión Inicial'!F12</f>
        <v>652200</v>
      </c>
    </row>
    <row r="29" spans="2:5" x14ac:dyDescent="0.25">
      <c r="B29" s="40">
        <v>1</v>
      </c>
      <c r="C29" s="41">
        <f>$D$25</f>
        <v>44470</v>
      </c>
      <c r="D29" s="30">
        <f>D28-C29</f>
        <v>607730</v>
      </c>
      <c r="E29" s="11"/>
    </row>
    <row r="30" spans="2:5" x14ac:dyDescent="0.25">
      <c r="B30" s="40">
        <v>2</v>
      </c>
      <c r="C30" s="41">
        <f t="shared" ref="C30:C33" si="1">$D$25</f>
        <v>44470</v>
      </c>
      <c r="D30" s="30">
        <f>D29-C30</f>
        <v>563260</v>
      </c>
    </row>
    <row r="31" spans="2:5" x14ac:dyDescent="0.25">
      <c r="B31" s="40">
        <v>3</v>
      </c>
      <c r="C31" s="41">
        <f t="shared" si="1"/>
        <v>44470</v>
      </c>
      <c r="D31" s="30">
        <f t="shared" ref="D31:D33" si="2">D30-C31</f>
        <v>518790</v>
      </c>
    </row>
    <row r="32" spans="2:5" x14ac:dyDescent="0.25">
      <c r="B32" s="40">
        <v>4</v>
      </c>
      <c r="C32" s="41">
        <f t="shared" si="1"/>
        <v>44470</v>
      </c>
      <c r="D32" s="30">
        <f t="shared" si="2"/>
        <v>474320</v>
      </c>
    </row>
    <row r="33" spans="2:4" x14ac:dyDescent="0.25">
      <c r="B33" s="40">
        <v>5</v>
      </c>
      <c r="C33" s="41">
        <f t="shared" si="1"/>
        <v>44470</v>
      </c>
      <c r="D33" s="30">
        <f t="shared" si="2"/>
        <v>429850</v>
      </c>
    </row>
  </sheetData>
  <mergeCells count="4">
    <mergeCell ref="B2:E2"/>
    <mergeCell ref="B7:E7"/>
    <mergeCell ref="B11:D11"/>
    <mergeCell ref="B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Políticas</vt:lpstr>
      <vt:lpstr>Inversión Inicial</vt:lpstr>
      <vt:lpstr>Depreciación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Casiano Luz Maria</dc:creator>
  <cp:lastModifiedBy>Luz María Morales Casiano</cp:lastModifiedBy>
  <dcterms:created xsi:type="dcterms:W3CDTF">2025-12-03T20:03:35Z</dcterms:created>
  <dcterms:modified xsi:type="dcterms:W3CDTF">2025-12-10T05:00:53Z</dcterms:modified>
</cp:coreProperties>
</file>
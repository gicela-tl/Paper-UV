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690d39358f3815e/Desktop/Apuntes y Tareas/7° Semestre/Proyectos de inversión/"/>
    </mc:Choice>
  </mc:AlternateContent>
  <xr:revisionPtr revIDLastSave="1" documentId="8_{450D321F-31D2-4BF4-87BE-A51EE653FBEC}" xr6:coauthVersionLast="47" xr6:coauthVersionMax="47" xr10:uidLastSave="{91AF08F1-5843-4A4D-A058-61224BE8914C}"/>
  <bookViews>
    <workbookView xWindow="-108" yWindow="-108" windowWidth="23256" windowHeight="12456" xr2:uid="{00000000-000D-0000-FFFF-FFFF00000000}"/>
  </bookViews>
  <sheets>
    <sheet name="Flujo de efectivo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11" l="1"/>
  <c r="O8" i="11"/>
  <c r="P8" i="11"/>
  <c r="Q8" i="11"/>
  <c r="O9" i="11"/>
  <c r="P9" i="11"/>
  <c r="Q9" i="11"/>
  <c r="Q16" i="11" s="1"/>
  <c r="Q18" i="11" s="1"/>
  <c r="Q36" i="11" s="1"/>
  <c r="O10" i="11"/>
  <c r="O16" i="11" s="1"/>
  <c r="O18" i="11" s="1"/>
  <c r="P10" i="11"/>
  <c r="P16" i="11" s="1"/>
  <c r="P18" i="11" s="1"/>
  <c r="P36" i="11" s="1"/>
  <c r="Q10" i="11"/>
  <c r="O11" i="11"/>
  <c r="P11" i="11"/>
  <c r="O12" i="11"/>
  <c r="P12" i="11"/>
  <c r="Q12" i="11"/>
  <c r="O13" i="11"/>
  <c r="P13" i="11"/>
  <c r="Q13" i="11"/>
  <c r="O14" i="11"/>
  <c r="P14" i="11"/>
  <c r="Q14" i="11"/>
  <c r="N14" i="11"/>
  <c r="N13" i="11"/>
  <c r="N12" i="11"/>
  <c r="N11" i="11"/>
  <c r="N10" i="11"/>
  <c r="N9" i="11"/>
  <c r="N8" i="11"/>
  <c r="O21" i="11"/>
  <c r="P21" i="11"/>
  <c r="P28" i="11" s="1"/>
  <c r="Q21" i="11"/>
  <c r="N21" i="11"/>
  <c r="N28" i="11"/>
  <c r="I28" i="11"/>
  <c r="J28" i="11"/>
  <c r="K28" i="11"/>
  <c r="L28" i="11"/>
  <c r="M28" i="11"/>
  <c r="O28" i="11"/>
  <c r="Q28" i="11"/>
  <c r="C28" i="11"/>
  <c r="D28" i="11"/>
  <c r="E28" i="11"/>
  <c r="F28" i="11"/>
  <c r="G28" i="11"/>
  <c r="H28" i="11"/>
  <c r="H36" i="11" s="1"/>
  <c r="H21" i="11"/>
  <c r="Q5" i="11"/>
  <c r="P5" i="11"/>
  <c r="O5" i="11"/>
  <c r="N5" i="11"/>
  <c r="B34" i="11"/>
  <c r="B16" i="11"/>
  <c r="B18" i="11" s="1"/>
  <c r="J36" i="11"/>
  <c r="K36" i="11"/>
  <c r="L36" i="11"/>
  <c r="M36" i="11"/>
  <c r="C18" i="11"/>
  <c r="C36" i="11" s="1"/>
  <c r="D18" i="11"/>
  <c r="D36" i="11" s="1"/>
  <c r="E18" i="11"/>
  <c r="H18" i="11"/>
  <c r="I18" i="11"/>
  <c r="I36" i="11" s="1"/>
  <c r="J18" i="11"/>
  <c r="K18" i="11"/>
  <c r="L18" i="11"/>
  <c r="M18" i="11"/>
  <c r="C16" i="11"/>
  <c r="D16" i="11"/>
  <c r="E16" i="11"/>
  <c r="F16" i="11"/>
  <c r="F18" i="11" s="1"/>
  <c r="F36" i="11" s="1"/>
  <c r="G16" i="11"/>
  <c r="G18" i="11" s="1"/>
  <c r="G36" i="11" s="1"/>
  <c r="H16" i="11"/>
  <c r="I16" i="11"/>
  <c r="J16" i="11"/>
  <c r="K16" i="11"/>
  <c r="L16" i="11"/>
  <c r="M16" i="11"/>
  <c r="B28" i="11"/>
  <c r="O36" i="11" l="1"/>
  <c r="N16" i="11"/>
  <c r="N18" i="11" s="1"/>
  <c r="N36" i="11" s="1"/>
  <c r="B36" i="11"/>
  <c r="B38" i="11" s="1"/>
  <c r="C38" i="11" s="1"/>
  <c r="D38" i="11" s="1"/>
  <c r="E38" i="11" s="1"/>
  <c r="F38" i="11" s="1"/>
  <c r="G38" i="11" s="1"/>
  <c r="H38" i="11" s="1"/>
  <c r="I38" i="11" s="1"/>
  <c r="J38" i="11" s="1"/>
  <c r="K38" i="11" s="1"/>
  <c r="L38" i="11" s="1"/>
  <c r="M38" i="11" s="1"/>
  <c r="E36" i="11"/>
  <c r="N38" i="11" l="1"/>
  <c r="O38" i="11" s="1"/>
  <c r="P38" i="11" s="1"/>
  <c r="Q38" i="11" s="1"/>
</calcChain>
</file>

<file path=xl/sharedStrings.xml><?xml version="1.0" encoding="utf-8"?>
<sst xmlns="http://schemas.openxmlformats.org/spreadsheetml/2006/main" count="44" uniqueCount="44">
  <si>
    <t>FLUJO NETO DE OPERACIÓN</t>
  </si>
  <si>
    <t>FINANCIAMIENTO</t>
  </si>
  <si>
    <t>CONCEPTO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</si>
  <si>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</si>
  <si>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</si>
  <si>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</si>
  <si>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</si>
  <si>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</si>
  <si>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</si>
  <si>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</si>
  <si>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</si>
  <si>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</si>
  <si>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</si>
  <si>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</si>
  <si>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</si>
  <si>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VENTAS</t>
  </si>
  <si>
    <t>GASTOS OPERATIVOS</t>
  </si>
  <si>
    <t>Sueldos</t>
  </si>
  <si>
    <t>Luz</t>
  </si>
  <si>
    <t>Agua</t>
  </si>
  <si>
    <t>Internet</t>
  </si>
  <si>
    <t>Publicidad</t>
  </si>
  <si>
    <t>TOTAL GASTOS OPERATIVOS</t>
  </si>
  <si>
    <t>INVERSIONES</t>
  </si>
  <si>
    <t>Impresoras</t>
  </si>
  <si>
    <t>Mobiliario</t>
  </si>
  <si>
    <t>Caja registradora</t>
  </si>
  <si>
    <t>Cámaras de seguridad</t>
  </si>
  <si>
    <t>Contenedores reciclaje</t>
  </si>
  <si>
    <t>TOTAL INVERSIONES</t>
  </si>
  <si>
    <t>Aportación de socios</t>
  </si>
  <si>
    <t>Préstamo bancario</t>
  </si>
  <si>
    <t>TOTAL FINANCIAMIENTO</t>
  </si>
  <si>
    <t>FLUJO NETO DEL MES</t>
  </si>
  <si>
    <t>SALDO FINAL</t>
  </si>
  <si>
    <t>Mantenimiento equipo</t>
  </si>
  <si>
    <t>Productos limpieza</t>
  </si>
  <si>
    <t>Año 2</t>
  </si>
  <si>
    <t xml:space="preserve">Año 3 </t>
  </si>
  <si>
    <t>Año 4</t>
  </si>
  <si>
    <t>Año 5</t>
  </si>
  <si>
    <t>Mercancia</t>
  </si>
  <si>
    <t>Se tomaron en cuenta en las ventas el 10% de su creciento en los siguientes 4 años y el incremento en los salarios del 6% al igual tomando en cuenta la inflación del 3.57%</t>
  </si>
  <si>
    <t xml:space="preserve">Flujo de Efectivo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</si>
</sst>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badi ExtraLight"/>
      <family val="2"/>
    </font>
    <font>
      <b/>
      <sz val="11"/>
      <color theme="0"/>
      <name val="Abadi ExtraLight"/>
      <family val="2"/>
    </font>
    <font>
      <u/>
      <sz val="22"/>
      <color theme="1"/>
      <name val="Abad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2" xfId="0" applyFont="1" applyBorder="1"/>
    <xf numFmtId="44" fontId="2" fillId="0" borderId="2" xfId="1" applyFont="1" applyBorder="1"/>
    <xf numFmtId="0" fontId="2" fillId="0" borderId="6" xfId="0" applyFont="1" applyBorder="1"/>
    <xf numFmtId="44" fontId="2" fillId="0" borderId="7" xfId="1" applyFont="1" applyBorder="1"/>
    <xf numFmtId="0" fontId="2" fillId="0" borderId="12" xfId="0" applyFont="1" applyBorder="1"/>
    <xf numFmtId="44" fontId="2" fillId="0" borderId="12" xfId="1" applyFont="1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44" fontId="0" fillId="0" borderId="6" xfId="0" applyNumberFormat="1" applyBorder="1"/>
    <xf numFmtId="44" fontId="0" fillId="0" borderId="2" xfId="0" applyNumberFormat="1" applyBorder="1"/>
    <xf numFmtId="44" fontId="0" fillId="0" borderId="7" xfId="0" applyNumberFormat="1" applyBorder="1"/>
    <xf numFmtId="0" fontId="0" fillId="2" borderId="0" xfId="0" applyFill="1" applyAlignment="1">
      <alignment horizontal="center" vertical="center" wrapText="1"/>
    </xf>
    <xf numFmtId="44" fontId="2" fillId="0" borderId="6" xfId="1" applyFont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11" xfId="0" applyFont="1" applyFill="1" applyBorder="1"/>
    <xf numFmtId="0" fontId="3" fillId="3" borderId="5" xfId="0" applyFont="1" applyFill="1" applyBorder="1"/>
    <xf numFmtId="0" fontId="2" fillId="4" borderId="6" xfId="0" applyFont="1" applyFill="1" applyBorder="1"/>
    <xf numFmtId="44" fontId="2" fillId="4" borderId="2" xfId="1" applyFont="1" applyFill="1" applyBorder="1"/>
    <xf numFmtId="44" fontId="2" fillId="4" borderId="12" xfId="1" applyFont="1" applyFill="1" applyBorder="1"/>
    <xf numFmtId="44" fontId="2" fillId="4" borderId="6" xfId="1" applyFont="1" applyFill="1" applyBorder="1"/>
    <xf numFmtId="44" fontId="2" fillId="4" borderId="7" xfId="1" applyFont="1" applyFill="1" applyBorder="1"/>
    <xf numFmtId="0" fontId="3" fillId="5" borderId="8" xfId="0" applyFont="1" applyFill="1" applyBorder="1"/>
    <xf numFmtId="44" fontId="3" fillId="5" borderId="9" xfId="1" applyFont="1" applyFill="1" applyBorder="1"/>
    <xf numFmtId="44" fontId="3" fillId="5" borderId="13" xfId="1" applyFont="1" applyFill="1" applyBorder="1"/>
    <xf numFmtId="44" fontId="3" fillId="5" borderId="8" xfId="1" applyFont="1" applyFill="1" applyBorder="1"/>
    <xf numFmtId="44" fontId="3" fillId="5" borderId="10" xfId="1" applyFont="1" applyFill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DD5FB-842C-43FC-AB57-7CD7071DD50C}">
  <dimension ref="A1:U38"/>
  <sheetViews>
    <sheetView tabSelected="1" topLeftCell="A12" zoomScale="69" workbookViewId="0">
      <selection activeCell="Q17" sqref="Q17"/>
    </sheetView>
  </sheetViews>
  <sheetFormatPr baseColWidth="10" defaultRowHeight="14.4" x14ac:dyDescent="0.3"/>
  <cols>
    <col min="1" max="1" width="28" bestFit="1" customWidth="1"/>
    <col min="2" max="3" width="15.44140625" bestFit="1" customWidth="1"/>
    <col min="4" max="13" width="14.33203125" bestFit="1" customWidth="1"/>
    <col min="14" max="15" width="16.21875" bestFit="1" customWidth="1"/>
    <col min="16" max="17" width="17.5546875" bestFit="1" customWidth="1"/>
  </cols>
  <sheetData>
    <row r="1" spans="1:21" ht="14.4" customHeight="1" x14ac:dyDescent="0.3">
      <c r="A1" s="29" t="s">
        <v>43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21" ht="15" customHeight="1" thickBot="1" x14ac:dyDescent="0.3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</row>
    <row r="3" spans="1:21" ht="15" x14ac:dyDescent="0.3">
      <c r="A3" s="15" t="s">
        <v>2</v>
      </c>
      <c r="B3" s="16" t="s">
        <v>3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13</v>
      </c>
      <c r="M3" s="17" t="s">
        <v>14</v>
      </c>
      <c r="N3" s="15" t="s">
        <v>37</v>
      </c>
      <c r="O3" s="16" t="s">
        <v>38</v>
      </c>
      <c r="P3" s="16" t="s">
        <v>39</v>
      </c>
      <c r="Q3" s="18" t="s">
        <v>40</v>
      </c>
    </row>
    <row r="4" spans="1:21" ht="15" customHeight="1" x14ac:dyDescent="0.3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5"/>
      <c r="N4" s="8"/>
      <c r="O4" s="7"/>
      <c r="P4" s="7"/>
      <c r="Q4" s="9"/>
      <c r="S4" s="13" t="s">
        <v>42</v>
      </c>
      <c r="T4" s="13"/>
      <c r="U4" s="13"/>
    </row>
    <row r="5" spans="1:21" ht="15" x14ac:dyDescent="0.3">
      <c r="A5" s="3" t="s">
        <v>15</v>
      </c>
      <c r="B5" s="2">
        <v>80600</v>
      </c>
      <c r="C5" s="2">
        <v>80600</v>
      </c>
      <c r="D5" s="2">
        <v>80600</v>
      </c>
      <c r="E5" s="2">
        <v>80600</v>
      </c>
      <c r="F5" s="2">
        <v>80600</v>
      </c>
      <c r="G5" s="2">
        <v>80600</v>
      </c>
      <c r="H5" s="2">
        <v>80600</v>
      </c>
      <c r="I5" s="2">
        <v>80600</v>
      </c>
      <c r="J5" s="2">
        <v>80600</v>
      </c>
      <c r="K5" s="2">
        <v>80600</v>
      </c>
      <c r="L5" s="2">
        <v>80600</v>
      </c>
      <c r="M5" s="6">
        <v>80600</v>
      </c>
      <c r="N5" s="10">
        <f>(M5*12)*1.1</f>
        <v>1063920</v>
      </c>
      <c r="O5" s="11">
        <f>N5*1.1</f>
        <v>1170312</v>
      </c>
      <c r="P5" s="11">
        <f>O5*1.1</f>
        <v>1287343.2000000002</v>
      </c>
      <c r="Q5" s="12">
        <f>P5*1.1</f>
        <v>1416077.5200000003</v>
      </c>
      <c r="S5" s="13"/>
      <c r="T5" s="13"/>
      <c r="U5" s="13"/>
    </row>
    <row r="6" spans="1:21" ht="15" x14ac:dyDescent="0.3">
      <c r="A6" s="3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6"/>
      <c r="N6" s="8"/>
      <c r="O6" s="7"/>
      <c r="P6" s="7"/>
      <c r="Q6" s="9"/>
      <c r="S6" s="13"/>
      <c r="T6" s="13"/>
      <c r="U6" s="13"/>
    </row>
    <row r="7" spans="1:21" ht="15" x14ac:dyDescent="0.3">
      <c r="A7" s="3" t="s">
        <v>16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6"/>
      <c r="N7" s="8"/>
      <c r="O7" s="7"/>
      <c r="P7" s="7"/>
      <c r="Q7" s="9"/>
      <c r="S7" s="13"/>
      <c r="T7" s="13"/>
      <c r="U7" s="13"/>
    </row>
    <row r="8" spans="1:21" ht="15" x14ac:dyDescent="0.3">
      <c r="A8" s="3" t="s">
        <v>17</v>
      </c>
      <c r="B8" s="2">
        <v>47256</v>
      </c>
      <c r="C8" s="2">
        <v>47256</v>
      </c>
      <c r="D8" s="2">
        <v>47256</v>
      </c>
      <c r="E8" s="2">
        <v>47256</v>
      </c>
      <c r="F8" s="2">
        <v>47256</v>
      </c>
      <c r="G8" s="2">
        <v>47256</v>
      </c>
      <c r="H8" s="2">
        <v>47256</v>
      </c>
      <c r="I8" s="2">
        <v>47256</v>
      </c>
      <c r="J8" s="2">
        <v>47256</v>
      </c>
      <c r="K8" s="2">
        <v>47256</v>
      </c>
      <c r="L8" s="2">
        <v>47256</v>
      </c>
      <c r="M8" s="6">
        <v>47256</v>
      </c>
      <c r="N8" s="10">
        <f>($M$8*12)*1.06</f>
        <v>601096.32000000007</v>
      </c>
      <c r="O8" s="11">
        <f t="shared" ref="O8:Q8" si="0">($M$8*12)*1.06</f>
        <v>601096.32000000007</v>
      </c>
      <c r="P8" s="11">
        <f t="shared" si="0"/>
        <v>601096.32000000007</v>
      </c>
      <c r="Q8" s="12">
        <f t="shared" si="0"/>
        <v>601096.32000000007</v>
      </c>
      <c r="S8" s="13"/>
      <c r="T8" s="13"/>
      <c r="U8" s="13"/>
    </row>
    <row r="9" spans="1:21" ht="15" x14ac:dyDescent="0.3">
      <c r="A9" s="3" t="s">
        <v>18</v>
      </c>
      <c r="B9" s="2">
        <v>2000</v>
      </c>
      <c r="C9" s="2">
        <v>2000</v>
      </c>
      <c r="D9" s="2">
        <v>2000</v>
      </c>
      <c r="E9" s="2">
        <v>2000</v>
      </c>
      <c r="F9" s="2">
        <v>2000</v>
      </c>
      <c r="G9" s="2">
        <v>2000</v>
      </c>
      <c r="H9" s="2">
        <v>2000</v>
      </c>
      <c r="I9" s="2">
        <v>2000</v>
      </c>
      <c r="J9" s="2">
        <v>2000</v>
      </c>
      <c r="K9" s="2">
        <v>2000</v>
      </c>
      <c r="L9" s="2">
        <v>2000</v>
      </c>
      <c r="M9" s="6">
        <v>2000</v>
      </c>
      <c r="N9" s="10">
        <f>($M$9*12)*1.0357</f>
        <v>24856.800000000003</v>
      </c>
      <c r="O9" s="11">
        <f t="shared" ref="O9:Q9" si="1">($M$9*12)*1.0357</f>
        <v>24856.800000000003</v>
      </c>
      <c r="P9" s="11">
        <f t="shared" si="1"/>
        <v>24856.800000000003</v>
      </c>
      <c r="Q9" s="12">
        <f t="shared" si="1"/>
        <v>24856.800000000003</v>
      </c>
    </row>
    <row r="10" spans="1:21" ht="15" x14ac:dyDescent="0.3">
      <c r="A10" s="3" t="s">
        <v>19</v>
      </c>
      <c r="B10" s="2">
        <v>500</v>
      </c>
      <c r="C10" s="2">
        <v>500</v>
      </c>
      <c r="D10" s="2">
        <v>500</v>
      </c>
      <c r="E10" s="2">
        <v>500</v>
      </c>
      <c r="F10" s="2">
        <v>500</v>
      </c>
      <c r="G10" s="2">
        <v>500</v>
      </c>
      <c r="H10" s="2">
        <v>500</v>
      </c>
      <c r="I10" s="2">
        <v>500</v>
      </c>
      <c r="J10" s="2">
        <v>500</v>
      </c>
      <c r="K10" s="2">
        <v>500</v>
      </c>
      <c r="L10" s="2">
        <v>500</v>
      </c>
      <c r="M10" s="6">
        <v>500</v>
      </c>
      <c r="N10" s="10">
        <f>($M$10*12)*1.0357</f>
        <v>6214.2000000000007</v>
      </c>
      <c r="O10" s="11">
        <f t="shared" ref="O10:Q10" si="2">($M$10*12)*1.0357</f>
        <v>6214.2000000000007</v>
      </c>
      <c r="P10" s="11">
        <f t="shared" si="2"/>
        <v>6214.2000000000007</v>
      </c>
      <c r="Q10" s="12">
        <f t="shared" si="2"/>
        <v>6214.2000000000007</v>
      </c>
    </row>
    <row r="11" spans="1:21" ht="15" x14ac:dyDescent="0.3">
      <c r="A11" s="3" t="s">
        <v>20</v>
      </c>
      <c r="B11" s="2">
        <v>1200</v>
      </c>
      <c r="C11" s="2">
        <v>1200</v>
      </c>
      <c r="D11" s="2">
        <v>1200</v>
      </c>
      <c r="E11" s="2">
        <v>1200</v>
      </c>
      <c r="F11" s="2">
        <v>1200</v>
      </c>
      <c r="G11" s="2">
        <v>1200</v>
      </c>
      <c r="H11" s="2">
        <v>1200</v>
      </c>
      <c r="I11" s="2">
        <v>1200</v>
      </c>
      <c r="J11" s="2">
        <v>1200</v>
      </c>
      <c r="K11" s="2">
        <v>1200</v>
      </c>
      <c r="L11" s="2">
        <v>1200</v>
      </c>
      <c r="M11" s="6">
        <v>1200</v>
      </c>
      <c r="N11" s="10">
        <f>($M$11*12)*1.0357</f>
        <v>14914.080000000002</v>
      </c>
      <c r="O11" s="11">
        <f t="shared" ref="O11:Q11" si="3">($M$11*12)*1.0357</f>
        <v>14914.080000000002</v>
      </c>
      <c r="P11" s="11">
        <f t="shared" si="3"/>
        <v>14914.080000000002</v>
      </c>
      <c r="Q11" s="12">
        <f>($M$11*12)*1.0357</f>
        <v>14914.080000000002</v>
      </c>
    </row>
    <row r="12" spans="1:21" ht="15" x14ac:dyDescent="0.3">
      <c r="A12" s="3" t="s">
        <v>21</v>
      </c>
      <c r="B12" s="2">
        <v>1500</v>
      </c>
      <c r="C12" s="2">
        <v>1500</v>
      </c>
      <c r="D12" s="2">
        <v>1500</v>
      </c>
      <c r="E12" s="2">
        <v>1500</v>
      </c>
      <c r="F12" s="2">
        <v>1500</v>
      </c>
      <c r="G12" s="2">
        <v>1500</v>
      </c>
      <c r="H12" s="2">
        <v>1500</v>
      </c>
      <c r="I12" s="2">
        <v>1500</v>
      </c>
      <c r="J12" s="2">
        <v>1500</v>
      </c>
      <c r="K12" s="2">
        <v>1500</v>
      </c>
      <c r="L12" s="2">
        <v>1500</v>
      </c>
      <c r="M12" s="6">
        <v>1500</v>
      </c>
      <c r="N12" s="10">
        <f>($M$12*12)*1.0357</f>
        <v>18642.600000000002</v>
      </c>
      <c r="O12" s="11">
        <f t="shared" ref="O12:Q12" si="4">($M$12*12)*1.0357</f>
        <v>18642.600000000002</v>
      </c>
      <c r="P12" s="11">
        <f t="shared" si="4"/>
        <v>18642.600000000002</v>
      </c>
      <c r="Q12" s="12">
        <f t="shared" si="4"/>
        <v>18642.600000000002</v>
      </c>
    </row>
    <row r="13" spans="1:21" ht="15" x14ac:dyDescent="0.3">
      <c r="A13" s="3" t="s">
        <v>35</v>
      </c>
      <c r="B13" s="2">
        <v>1500</v>
      </c>
      <c r="C13" s="2">
        <v>1500</v>
      </c>
      <c r="D13" s="2">
        <v>1500</v>
      </c>
      <c r="E13" s="2">
        <v>1500</v>
      </c>
      <c r="F13" s="2">
        <v>1500</v>
      </c>
      <c r="G13" s="2">
        <v>1500</v>
      </c>
      <c r="H13" s="2">
        <v>1500</v>
      </c>
      <c r="I13" s="2">
        <v>1500</v>
      </c>
      <c r="J13" s="2">
        <v>1500</v>
      </c>
      <c r="K13" s="2">
        <v>1500</v>
      </c>
      <c r="L13" s="2">
        <v>1500</v>
      </c>
      <c r="M13" s="6">
        <v>1500</v>
      </c>
      <c r="N13" s="10">
        <f>($M$13*12)*1.0357</f>
        <v>18642.600000000002</v>
      </c>
      <c r="O13" s="11">
        <f t="shared" ref="O13:Q13" si="5">($M$13*12)*1.0357</f>
        <v>18642.600000000002</v>
      </c>
      <c r="P13" s="11">
        <f t="shared" si="5"/>
        <v>18642.600000000002</v>
      </c>
      <c r="Q13" s="12">
        <f t="shared" si="5"/>
        <v>18642.600000000002</v>
      </c>
    </row>
    <row r="14" spans="1:21" ht="15" x14ac:dyDescent="0.3">
      <c r="A14" s="3" t="s">
        <v>36</v>
      </c>
      <c r="B14" s="2">
        <v>800</v>
      </c>
      <c r="C14" s="2">
        <v>800</v>
      </c>
      <c r="D14" s="2">
        <v>800</v>
      </c>
      <c r="E14" s="2">
        <v>800</v>
      </c>
      <c r="F14" s="2">
        <v>800</v>
      </c>
      <c r="G14" s="2">
        <v>800</v>
      </c>
      <c r="H14" s="2">
        <v>800</v>
      </c>
      <c r="I14" s="2">
        <v>800</v>
      </c>
      <c r="J14" s="2">
        <v>800</v>
      </c>
      <c r="K14" s="2">
        <v>800</v>
      </c>
      <c r="L14" s="2">
        <v>800</v>
      </c>
      <c r="M14" s="6">
        <v>800</v>
      </c>
      <c r="N14" s="10">
        <f>($M$14*12)*1.0357</f>
        <v>9942.7200000000012</v>
      </c>
      <c r="O14" s="11">
        <f t="shared" ref="O14:Q14" si="6">($M$14*12)*1.0357</f>
        <v>9942.7200000000012</v>
      </c>
      <c r="P14" s="11">
        <f t="shared" si="6"/>
        <v>9942.7200000000012</v>
      </c>
      <c r="Q14" s="12">
        <f t="shared" si="6"/>
        <v>9942.7200000000012</v>
      </c>
    </row>
    <row r="15" spans="1:21" ht="15" x14ac:dyDescent="0.3">
      <c r="A15" s="3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6"/>
      <c r="N15" s="8"/>
      <c r="O15" s="7"/>
      <c r="P15" s="7"/>
      <c r="Q15" s="9"/>
    </row>
    <row r="16" spans="1:21" ht="15" x14ac:dyDescent="0.3">
      <c r="A16" s="3" t="s">
        <v>22</v>
      </c>
      <c r="B16" s="2">
        <f>SUM(B8:B14)</f>
        <v>54756</v>
      </c>
      <c r="C16" s="2">
        <f t="shared" ref="C16:Q16" si="7">SUM(C8:C14)</f>
        <v>54756</v>
      </c>
      <c r="D16" s="2">
        <f t="shared" si="7"/>
        <v>54756</v>
      </c>
      <c r="E16" s="2">
        <f t="shared" si="7"/>
        <v>54756</v>
      </c>
      <c r="F16" s="2">
        <f t="shared" si="7"/>
        <v>54756</v>
      </c>
      <c r="G16" s="2">
        <f t="shared" si="7"/>
        <v>54756</v>
      </c>
      <c r="H16" s="2">
        <f t="shared" si="7"/>
        <v>54756</v>
      </c>
      <c r="I16" s="2">
        <f t="shared" si="7"/>
        <v>54756</v>
      </c>
      <c r="J16" s="2">
        <f t="shared" si="7"/>
        <v>54756</v>
      </c>
      <c r="K16" s="2">
        <f t="shared" si="7"/>
        <v>54756</v>
      </c>
      <c r="L16" s="2">
        <f t="shared" si="7"/>
        <v>54756</v>
      </c>
      <c r="M16" s="6">
        <f t="shared" si="7"/>
        <v>54756</v>
      </c>
      <c r="N16" s="14">
        <f t="shared" si="7"/>
        <v>694309.32</v>
      </c>
      <c r="O16" s="2">
        <f t="shared" si="7"/>
        <v>694309.32</v>
      </c>
      <c r="P16" s="2">
        <f t="shared" si="7"/>
        <v>694309.32</v>
      </c>
      <c r="Q16" s="4">
        <f t="shared" si="7"/>
        <v>694309.32</v>
      </c>
    </row>
    <row r="17" spans="1:17" ht="15" x14ac:dyDescent="0.3">
      <c r="A17" s="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6"/>
      <c r="N17" s="8"/>
      <c r="O17" s="7"/>
      <c r="P17" s="7"/>
      <c r="Q17" s="9"/>
    </row>
    <row r="18" spans="1:17" ht="15" x14ac:dyDescent="0.3">
      <c r="A18" s="3" t="s">
        <v>0</v>
      </c>
      <c r="B18" s="2">
        <f>B5-B16</f>
        <v>25844</v>
      </c>
      <c r="C18" s="2">
        <f t="shared" ref="C18:Q18" si="8">C5-C16</f>
        <v>25844</v>
      </c>
      <c r="D18" s="2">
        <f t="shared" si="8"/>
        <v>25844</v>
      </c>
      <c r="E18" s="2">
        <f t="shared" si="8"/>
        <v>25844</v>
      </c>
      <c r="F18" s="2">
        <f t="shared" si="8"/>
        <v>25844</v>
      </c>
      <c r="G18" s="2">
        <f t="shared" si="8"/>
        <v>25844</v>
      </c>
      <c r="H18" s="2">
        <f t="shared" si="8"/>
        <v>25844</v>
      </c>
      <c r="I18" s="2">
        <f t="shared" si="8"/>
        <v>25844</v>
      </c>
      <c r="J18" s="2">
        <f t="shared" si="8"/>
        <v>25844</v>
      </c>
      <c r="K18" s="2">
        <f t="shared" si="8"/>
        <v>25844</v>
      </c>
      <c r="L18" s="2">
        <f t="shared" si="8"/>
        <v>25844</v>
      </c>
      <c r="M18" s="6">
        <f t="shared" si="8"/>
        <v>25844</v>
      </c>
      <c r="N18" s="14">
        <f t="shared" si="8"/>
        <v>369610.68000000005</v>
      </c>
      <c r="O18" s="2">
        <f t="shared" si="8"/>
        <v>476002.68000000005</v>
      </c>
      <c r="P18" s="2">
        <f t="shared" si="8"/>
        <v>593033.88000000024</v>
      </c>
      <c r="Q18" s="4">
        <f t="shared" si="8"/>
        <v>721768.2000000003</v>
      </c>
    </row>
    <row r="19" spans="1:17" ht="15" x14ac:dyDescent="0.3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6"/>
      <c r="N19" s="8"/>
      <c r="O19" s="7"/>
      <c r="P19" s="7"/>
      <c r="Q19" s="9"/>
    </row>
    <row r="20" spans="1:17" ht="15" x14ac:dyDescent="0.3">
      <c r="A20" s="3" t="s">
        <v>23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6"/>
      <c r="N20" s="8"/>
      <c r="O20" s="7"/>
      <c r="P20" s="7"/>
      <c r="Q20" s="9"/>
    </row>
    <row r="21" spans="1:17" ht="15" x14ac:dyDescent="0.3">
      <c r="A21" s="3" t="s">
        <v>41</v>
      </c>
      <c r="B21" s="2">
        <v>32000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f>B21</f>
        <v>32000</v>
      </c>
      <c r="I21" s="2">
        <v>0</v>
      </c>
      <c r="J21" s="2">
        <v>0</v>
      </c>
      <c r="K21" s="2">
        <v>0</v>
      </c>
      <c r="L21" s="2">
        <v>0</v>
      </c>
      <c r="M21" s="6">
        <v>0</v>
      </c>
      <c r="N21" s="10">
        <f>$B$21*2</f>
        <v>64000</v>
      </c>
      <c r="O21" s="11">
        <f t="shared" ref="O21:Q21" si="9">$B$21*2</f>
        <v>64000</v>
      </c>
      <c r="P21" s="11">
        <f t="shared" si="9"/>
        <v>64000</v>
      </c>
      <c r="Q21" s="12">
        <f t="shared" si="9"/>
        <v>64000</v>
      </c>
    </row>
    <row r="22" spans="1:17" ht="15" x14ac:dyDescent="0.3">
      <c r="A22" s="3" t="s">
        <v>24</v>
      </c>
      <c r="B22" s="2">
        <v>24000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6">
        <v>0</v>
      </c>
      <c r="N22" s="8"/>
      <c r="O22" s="7"/>
      <c r="P22" s="7"/>
      <c r="Q22" s="9"/>
    </row>
    <row r="23" spans="1:17" ht="15" x14ac:dyDescent="0.3">
      <c r="A23" s="3" t="s">
        <v>25</v>
      </c>
      <c r="B23" s="2">
        <v>17600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6">
        <v>0</v>
      </c>
      <c r="N23" s="8"/>
      <c r="O23" s="7"/>
      <c r="P23" s="7"/>
      <c r="Q23" s="9"/>
    </row>
    <row r="24" spans="1:17" ht="15" x14ac:dyDescent="0.3">
      <c r="A24" s="3" t="s">
        <v>26</v>
      </c>
      <c r="B24" s="2">
        <v>5500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6">
        <v>0</v>
      </c>
      <c r="N24" s="8"/>
      <c r="O24" s="7"/>
      <c r="P24" s="7"/>
      <c r="Q24" s="9"/>
    </row>
    <row r="25" spans="1:17" ht="15" x14ac:dyDescent="0.3">
      <c r="A25" s="3" t="s">
        <v>27</v>
      </c>
      <c r="B25" s="2">
        <v>3000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6">
        <v>0</v>
      </c>
      <c r="N25" s="8"/>
      <c r="O25" s="7"/>
      <c r="P25" s="7"/>
      <c r="Q25" s="9"/>
    </row>
    <row r="26" spans="1:17" ht="15" x14ac:dyDescent="0.3">
      <c r="A26" s="3" t="s">
        <v>28</v>
      </c>
      <c r="B26" s="2">
        <v>3600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6">
        <v>0</v>
      </c>
      <c r="N26" s="8"/>
      <c r="O26" s="7"/>
      <c r="P26" s="7"/>
      <c r="Q26" s="9"/>
    </row>
    <row r="27" spans="1:17" ht="15" x14ac:dyDescent="0.3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"/>
      <c r="N27" s="8"/>
      <c r="O27" s="7"/>
      <c r="P27" s="7"/>
      <c r="Q27" s="9"/>
    </row>
    <row r="28" spans="1:17" ht="15" x14ac:dyDescent="0.3">
      <c r="A28" s="3" t="s">
        <v>29</v>
      </c>
      <c r="B28" s="2">
        <f>SUM(B21:B26)</f>
        <v>85700</v>
      </c>
      <c r="C28" s="2">
        <f t="shared" ref="C28:Q28" si="10">SUM(C21:C26)</f>
        <v>0</v>
      </c>
      <c r="D28" s="2">
        <f t="shared" si="10"/>
        <v>0</v>
      </c>
      <c r="E28" s="2">
        <f t="shared" si="10"/>
        <v>0</v>
      </c>
      <c r="F28" s="2">
        <f t="shared" si="10"/>
        <v>0</v>
      </c>
      <c r="G28" s="2">
        <f t="shared" si="10"/>
        <v>0</v>
      </c>
      <c r="H28" s="2">
        <f t="shared" si="10"/>
        <v>32000</v>
      </c>
      <c r="I28" s="2">
        <f t="shared" si="10"/>
        <v>0</v>
      </c>
      <c r="J28" s="2">
        <f t="shared" si="10"/>
        <v>0</v>
      </c>
      <c r="K28" s="2">
        <f t="shared" si="10"/>
        <v>0</v>
      </c>
      <c r="L28" s="2">
        <f t="shared" si="10"/>
        <v>0</v>
      </c>
      <c r="M28" s="6">
        <f t="shared" si="10"/>
        <v>0</v>
      </c>
      <c r="N28" s="14">
        <f t="shared" si="10"/>
        <v>64000</v>
      </c>
      <c r="O28" s="2">
        <f t="shared" si="10"/>
        <v>64000</v>
      </c>
      <c r="P28" s="2">
        <f t="shared" si="10"/>
        <v>64000</v>
      </c>
      <c r="Q28" s="4">
        <f t="shared" si="10"/>
        <v>64000</v>
      </c>
    </row>
    <row r="29" spans="1:17" ht="15" x14ac:dyDescent="0.3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6"/>
      <c r="N29" s="8"/>
      <c r="O29" s="7"/>
      <c r="P29" s="7"/>
      <c r="Q29" s="9"/>
    </row>
    <row r="30" spans="1:17" ht="15" x14ac:dyDescent="0.3">
      <c r="A30" s="3" t="s">
        <v>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6"/>
      <c r="N30" s="8"/>
      <c r="O30" s="7"/>
      <c r="P30" s="7"/>
      <c r="Q30" s="9"/>
    </row>
    <row r="31" spans="1:17" ht="15" x14ac:dyDescent="0.3">
      <c r="A31" s="3" t="s">
        <v>30</v>
      </c>
      <c r="B31" s="2">
        <v>400000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6">
        <v>0</v>
      </c>
      <c r="N31" s="14">
        <v>0</v>
      </c>
      <c r="O31" s="2">
        <v>0</v>
      </c>
      <c r="P31" s="2">
        <v>0</v>
      </c>
      <c r="Q31" s="4">
        <v>0</v>
      </c>
    </row>
    <row r="32" spans="1:17" ht="15" x14ac:dyDescent="0.3">
      <c r="A32" s="3" t="s">
        <v>31</v>
      </c>
      <c r="B32" s="2">
        <v>287700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6">
        <v>0</v>
      </c>
      <c r="N32" s="14">
        <v>0</v>
      </c>
      <c r="O32" s="2">
        <v>0</v>
      </c>
      <c r="P32" s="2">
        <v>0</v>
      </c>
      <c r="Q32" s="4">
        <v>0</v>
      </c>
    </row>
    <row r="33" spans="1:17" ht="15" x14ac:dyDescent="0.3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6"/>
      <c r="N33" s="14"/>
      <c r="O33" s="2"/>
      <c r="P33" s="2"/>
      <c r="Q33" s="4"/>
    </row>
    <row r="34" spans="1:17" ht="15" x14ac:dyDescent="0.3">
      <c r="A34" s="3" t="s">
        <v>32</v>
      </c>
      <c r="B34" s="2">
        <f>SUM(B31:B32)</f>
        <v>687700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6">
        <v>0</v>
      </c>
      <c r="N34" s="14">
        <v>0</v>
      </c>
      <c r="O34" s="2">
        <v>0</v>
      </c>
      <c r="P34" s="2">
        <v>0</v>
      </c>
      <c r="Q34" s="4">
        <v>0</v>
      </c>
    </row>
    <row r="35" spans="1:17" ht="15" x14ac:dyDescent="0.3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6"/>
      <c r="N35" s="8"/>
      <c r="O35" s="7"/>
      <c r="P35" s="7"/>
      <c r="Q35" s="9"/>
    </row>
    <row r="36" spans="1:17" ht="15" x14ac:dyDescent="0.3">
      <c r="A36" s="19" t="s">
        <v>33</v>
      </c>
      <c r="B36" s="20">
        <f>B18-B28+B34</f>
        <v>627844</v>
      </c>
      <c r="C36" s="20">
        <f t="shared" ref="C36:Q36" si="11">C18-C28+C34</f>
        <v>25844</v>
      </c>
      <c r="D36" s="20">
        <f t="shared" si="11"/>
        <v>25844</v>
      </c>
      <c r="E36" s="20">
        <f t="shared" si="11"/>
        <v>25844</v>
      </c>
      <c r="F36" s="20">
        <f t="shared" si="11"/>
        <v>25844</v>
      </c>
      <c r="G36" s="20">
        <f t="shared" si="11"/>
        <v>25844</v>
      </c>
      <c r="H36" s="20">
        <f>H18-H28+H34</f>
        <v>-6156</v>
      </c>
      <c r="I36" s="20">
        <f t="shared" si="11"/>
        <v>25844</v>
      </c>
      <c r="J36" s="20">
        <f t="shared" si="11"/>
        <v>25844</v>
      </c>
      <c r="K36" s="20">
        <f t="shared" si="11"/>
        <v>25844</v>
      </c>
      <c r="L36" s="20">
        <f t="shared" si="11"/>
        <v>25844</v>
      </c>
      <c r="M36" s="21">
        <f t="shared" si="11"/>
        <v>25844</v>
      </c>
      <c r="N36" s="22">
        <f t="shared" si="11"/>
        <v>305610.68000000005</v>
      </c>
      <c r="O36" s="20">
        <f t="shared" si="11"/>
        <v>412002.68000000005</v>
      </c>
      <c r="P36" s="20">
        <f>P18-P28+P34</f>
        <v>529033.88000000024</v>
      </c>
      <c r="Q36" s="23">
        <f t="shared" si="11"/>
        <v>657768.2000000003</v>
      </c>
    </row>
    <row r="37" spans="1:17" ht="15" x14ac:dyDescent="0.3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6"/>
      <c r="N37" s="8"/>
      <c r="O37" s="7"/>
      <c r="P37" s="7"/>
      <c r="Q37" s="9"/>
    </row>
    <row r="38" spans="1:17" ht="15.6" thickBot="1" x14ac:dyDescent="0.35">
      <c r="A38" s="24" t="s">
        <v>34</v>
      </c>
      <c r="B38" s="25">
        <f>B36</f>
        <v>627844</v>
      </c>
      <c r="C38" s="25">
        <f>C36+B38</f>
        <v>653688</v>
      </c>
      <c r="D38" s="25">
        <f>D36+C38</f>
        <v>679532</v>
      </c>
      <c r="E38" s="25">
        <f t="shared" ref="E38:Q38" si="12">E36+D38</f>
        <v>705376</v>
      </c>
      <c r="F38" s="25">
        <f>F36+E38</f>
        <v>731220</v>
      </c>
      <c r="G38" s="25">
        <f t="shared" si="12"/>
        <v>757064</v>
      </c>
      <c r="H38" s="25">
        <f t="shared" si="12"/>
        <v>750908</v>
      </c>
      <c r="I38" s="25">
        <f t="shared" si="12"/>
        <v>776752</v>
      </c>
      <c r="J38" s="25">
        <f t="shared" si="12"/>
        <v>802596</v>
      </c>
      <c r="K38" s="25">
        <f t="shared" si="12"/>
        <v>828440</v>
      </c>
      <c r="L38" s="25">
        <f t="shared" si="12"/>
        <v>854284</v>
      </c>
      <c r="M38" s="26">
        <f t="shared" si="12"/>
        <v>880128</v>
      </c>
      <c r="N38" s="27">
        <f t="shared" si="12"/>
        <v>1185738.6800000002</v>
      </c>
      <c r="O38" s="25">
        <f t="shared" si="12"/>
        <v>1597741.3600000003</v>
      </c>
      <c r="P38" s="25">
        <f>P36+O38</f>
        <v>2126775.2400000007</v>
      </c>
      <c r="Q38" s="28">
        <f>Q36+P38</f>
        <v>2784543.4400000009</v>
      </c>
    </row>
  </sheetData>
  <mergeCells count="2">
    <mergeCell ref="S4:U8"/>
    <mergeCell ref="A1:Q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A4557DA7060A47A4F4DA61FDB7C848" ma:contentTypeVersion="15" ma:contentTypeDescription="Crear nuevo documento." ma:contentTypeScope="" ma:versionID="c11f07322bdf65a3341d148a58c6a934">
  <xsd:schema xmlns:xsd="http://www.w3.org/2001/XMLSchema" xmlns:xs="http://www.w3.org/2001/XMLSchema" xmlns:p="http://schemas.microsoft.com/office/2006/metadata/properties" xmlns:ns3="f8f1ca95-b07b-413c-ab75-614f58d08288" xmlns:ns4="0f262e42-4bfe-4dc3-9561-2525a4069dd1" targetNamespace="http://schemas.microsoft.com/office/2006/metadata/properties" ma:root="true" ma:fieldsID="5154f726e210a9ee0424fdc89be75dbd" ns3:_="" ns4:_="">
    <xsd:import namespace="f8f1ca95-b07b-413c-ab75-614f58d08288"/>
    <xsd:import namespace="0f262e42-4bfe-4dc3-9561-2525a4069dd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f1ca95-b07b-413c-ab75-614f58d08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262e42-4bfe-4dc3-9561-2525a4069dd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f1ca95-b07b-413c-ab75-614f58d08288" xsi:nil="true"/>
  </documentManagement>
</p:properties>
</file>

<file path=customXml/itemProps1.xml><?xml version="1.0" encoding="utf-8"?>
<ds:datastoreItem xmlns:ds="http://schemas.openxmlformats.org/officeDocument/2006/customXml" ds:itemID="{78EBCAF7-8BD6-4D00-8ECD-39B03F00C8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f1ca95-b07b-413c-ab75-614f58d08288"/>
    <ds:schemaRef ds:uri="0f262e42-4bfe-4dc3-9561-2525a4069d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0C4DA0-07F0-4039-9247-63D9A7B2F9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E197FD-1806-4A0F-A963-47EC9AB6866B}">
  <ds:schemaRefs>
    <ds:schemaRef ds:uri="http://purl.org/dc/terms/"/>
    <ds:schemaRef ds:uri="http://purl.org/dc/dcmitype/"/>
    <ds:schemaRef ds:uri="http://schemas.microsoft.com/office/2006/metadata/properties"/>
    <ds:schemaRef ds:uri="0f262e42-4bfe-4dc3-9561-2525a4069dd1"/>
    <ds:schemaRef ds:uri="http://schemas.microsoft.com/office/2006/documentManagement/types"/>
    <ds:schemaRef ds:uri="http://purl.org/dc/elements/1.1/"/>
    <ds:schemaRef ds:uri="http://www.w3.org/XML/1998/namespace"/>
    <ds:schemaRef ds:uri="f8f1ca95-b07b-413c-ab75-614f58d08288"/>
    <ds:schemaRef ds:uri="http://schemas.openxmlformats.org/package/2006/metadata/core-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Flujo de efectivo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Margarita Valle</dc:creator>
  <cp:lastModifiedBy>Gicela Terrazas</cp:lastModifiedBy>
  <dcterms:created xsi:type="dcterms:W3CDTF">2011-08-09T14:27:49Z</dcterms:created>
  <dcterms:modified xsi:type="dcterms:W3CDTF">2025-12-14T19:57:58Z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0x0101008CA4557DA7060A47A4F4DA61FDB7C848</vt:lpwstr>
  </property>
</Properties>
</file>
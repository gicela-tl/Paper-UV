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90d39358f3815e/Desktop/Apuntes y Tareas/7° Semestre/Proyectos de inversión/"/>
    </mc:Choice>
  </mc:AlternateContent>
  <xr:revisionPtr revIDLastSave="2" documentId="8_{79099F32-D80B-4018-9B4A-D395CDCC46FC}" xr6:coauthVersionLast="47" xr6:coauthVersionMax="47" xr10:uidLastSave="{332A8391-C585-45C4-B0CD-8A5D0104CEEB}"/>
  <bookViews>
    <workbookView xWindow="-108" yWindow="-108" windowWidth="23256" windowHeight="12456" xr2:uid="{33802887-7771-402D-A015-6ED2CA681FE6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C15" i="1"/>
  <c r="L13" i="1"/>
  <c r="K13" i="1"/>
  <c r="J13" i="1"/>
  <c r="I13" i="1"/>
  <c r="H13" i="1"/>
  <c r="G13" i="1"/>
  <c r="F13" i="1"/>
  <c r="E13" i="1"/>
  <c r="O12" i="1"/>
  <c r="P12" i="1" s="1"/>
  <c r="Q12" i="1" s="1"/>
  <c r="R12" i="1" s="1"/>
  <c r="N11" i="1"/>
  <c r="O11" i="1" s="1"/>
  <c r="P11" i="1" s="1"/>
  <c r="Q11" i="1" s="1"/>
  <c r="R11" i="1" s="1"/>
  <c r="M11" i="1"/>
  <c r="L11" i="1"/>
  <c r="K11" i="1"/>
  <c r="J11" i="1"/>
  <c r="I11" i="1"/>
  <c r="H11" i="1"/>
  <c r="G11" i="1"/>
  <c r="F11" i="1"/>
  <c r="E11" i="1"/>
  <c r="D11" i="1"/>
  <c r="C11" i="1"/>
  <c r="O10" i="1"/>
  <c r="P10" i="1" s="1"/>
  <c r="Q10" i="1" s="1"/>
  <c r="R10" i="1" s="1"/>
  <c r="O9" i="1"/>
  <c r="P9" i="1" s="1"/>
  <c r="Q9" i="1" s="1"/>
  <c r="R9" i="1" s="1"/>
  <c r="O8" i="1"/>
  <c r="P8" i="1" s="1"/>
  <c r="Q8" i="1" s="1"/>
  <c r="R8" i="1" s="1"/>
  <c r="O7" i="1"/>
  <c r="P7" i="1" s="1"/>
  <c r="Q7" i="1" s="1"/>
  <c r="R7" i="1" s="1"/>
  <c r="O6" i="1"/>
  <c r="P6" i="1" s="1"/>
  <c r="Q6" i="1" s="1"/>
  <c r="R6" i="1" s="1"/>
  <c r="N5" i="1"/>
  <c r="N13" i="1" s="1"/>
  <c r="M5" i="1"/>
  <c r="M13" i="1" s="1"/>
  <c r="L5" i="1"/>
  <c r="K5" i="1"/>
  <c r="J5" i="1"/>
  <c r="I5" i="1"/>
  <c r="H5" i="1"/>
  <c r="G5" i="1"/>
  <c r="F5" i="1"/>
  <c r="E5" i="1"/>
  <c r="D5" i="1"/>
  <c r="D13" i="1" s="1"/>
  <c r="C5" i="1"/>
  <c r="C13" i="1" s="1"/>
  <c r="O5" i="1" l="1"/>
  <c r="O13" i="1" l="1"/>
  <c r="P5" i="1"/>
  <c r="P13" i="1" l="1"/>
  <c r="Q5" i="1"/>
  <c r="Q13" i="1" l="1"/>
  <c r="R5" i="1"/>
  <c r="R13" i="1" s="1"/>
</calcChain>
</file>

<file path=xl/sharedStrings.xml><?xml version="1.0" encoding="utf-8"?>
<sst xmlns="http://schemas.openxmlformats.org/spreadsheetml/2006/main" count="53" uniqueCount="31">
  <si>
    <t>Gastos Operativos</t>
  </si>
  <si>
    <t>Concepto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</si>
  <si>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</si>
  <si>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</si>
  <si>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</si>
  <si>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</si>
  <si>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</si>
  <si>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</si>
  <si>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</si>
  <si>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</si>
  <si>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</si>
  <si>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</si>
  <si>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</si>
  <si>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</si>
  <si>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 2</t>
  </si>
  <si>
    <t>Año 3</t>
  </si>
  <si>
    <t>Año 4</t>
  </si>
  <si>
    <t>Año 5</t>
  </si>
  <si>
    <t>Sueldos del personal</t>
  </si>
  <si>
    <t>Luz</t>
  </si>
  <si>
    <t>Agua</t>
  </si>
  <si>
    <t xml:space="preserve">Internet </t>
  </si>
  <si>
    <t>Publicidad y promoción</t>
  </si>
  <si>
    <t>Mantenimiento</t>
  </si>
  <si>
    <t>Depreciación</t>
  </si>
  <si>
    <t>Limpieza</t>
  </si>
  <si>
    <t>TOTAL</t>
  </si>
  <si>
    <t>Inflación Anual</t>
  </si>
  <si>
    <t>Incremento salarial</t>
  </si>
  <si>
    <t>Periodo</t>
  </si>
  <si>
    <t xml:space="preserve">Índice general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</si>
</sst>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.0_)"/>
    <numFmt numFmtId="165" formatCode="_-&quot;$&quot;* #,##0.00000_-;\-&quot;$&quot;* #,##0.00000_-;_-&quot;$&quot;* &quot;-&quot;??_-;_-@_-"/>
    <numFmt numFmtId="166" formatCode="0_)"/>
    <numFmt numFmtId="167" formatCode="######\ ##0.0;\(\-\)######\ ##0.0"/>
    <numFmt numFmtId="168" formatCode="###########\ ##0.0;\(\-\)###########\ ##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name val="Courier"/>
      <family val="3"/>
    </font>
    <font>
      <b/>
      <sz val="11"/>
      <color theme="1"/>
      <name val="Aptos Narrow"/>
      <family val="2"/>
      <scheme val="minor"/>
    </font>
    <font>
      <sz val="24"/>
      <color theme="1"/>
      <name val="Abadi"/>
      <family val="2"/>
    </font>
    <font>
      <b/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3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44" fontId="0" fillId="0" borderId="0" xfId="1" applyFont="1"/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44" fontId="4" fillId="2" borderId="2" xfId="1" applyFont="1" applyFill="1" applyBorder="1" applyAlignment="1">
      <alignment horizontal="center" vertical="center" wrapText="1"/>
    </xf>
    <xf numFmtId="44" fontId="4" fillId="2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4" fontId="0" fillId="0" borderId="5" xfId="1" applyFont="1" applyBorder="1" applyAlignment="1">
      <alignment vertical="center" wrapText="1"/>
    </xf>
    <xf numFmtId="44" fontId="0" fillId="0" borderId="5" xfId="0" applyNumberFormat="1" applyBorder="1"/>
    <xf numFmtId="44" fontId="0" fillId="0" borderId="5" xfId="1" applyFont="1" applyBorder="1"/>
    <xf numFmtId="0" fontId="4" fillId="2" borderId="6" xfId="0" applyFont="1" applyFill="1" applyBorder="1" applyAlignment="1">
      <alignment vertical="center" wrapText="1"/>
    </xf>
    <xf numFmtId="44" fontId="4" fillId="2" borderId="7" xfId="1" applyFont="1" applyFill="1" applyBorder="1" applyAlignment="1">
      <alignment vertical="center" wrapText="1"/>
    </xf>
    <xf numFmtId="44" fontId="4" fillId="2" borderId="8" xfId="1" applyFont="1" applyFill="1" applyBorder="1" applyAlignment="1">
      <alignment vertical="center" wrapText="1"/>
    </xf>
    <xf numFmtId="0" fontId="0" fillId="0" borderId="9" xfId="0" applyBorder="1"/>
    <xf numFmtId="10" fontId="0" fillId="2" borderId="10" xfId="3" applyNumberFormat="1" applyFont="1" applyFill="1" applyBorder="1"/>
    <xf numFmtId="9" fontId="0" fillId="2" borderId="10" xfId="3" applyFont="1" applyFill="1" applyBorder="1"/>
    <xf numFmtId="165" fontId="0" fillId="0" borderId="0" xfId="1" applyNumberFormat="1" applyFont="1"/>
    <xf numFmtId="164" fontId="6" fillId="2" borderId="1" xfId="2" applyFont="1" applyFill="1" applyBorder="1" applyAlignment="1">
      <alignment horizontal="center" vertical="center" wrapText="1"/>
    </xf>
    <xf numFmtId="164" fontId="6" fillId="2" borderId="2" xfId="2" applyFont="1" applyFill="1" applyBorder="1" applyAlignment="1">
      <alignment horizontal="center" vertical="center" wrapText="1"/>
    </xf>
    <xf numFmtId="164" fontId="6" fillId="2" borderId="3" xfId="2" applyFont="1" applyFill="1" applyBorder="1" applyAlignment="1">
      <alignment horizontal="left" vertical="center" wrapText="1"/>
    </xf>
    <xf numFmtId="164" fontId="6" fillId="2" borderId="4" xfId="2" applyFont="1" applyFill="1" applyBorder="1" applyAlignment="1">
      <alignment horizontal="center" vertical="center" wrapText="1"/>
    </xf>
    <xf numFmtId="164" fontId="6" fillId="2" borderId="5" xfId="2" applyFont="1" applyFill="1" applyBorder="1" applyAlignment="1">
      <alignment horizontal="center" vertical="center" wrapText="1"/>
    </xf>
    <xf numFmtId="164" fontId="6" fillId="2" borderId="11" xfId="2" applyFont="1" applyFill="1" applyBorder="1" applyAlignment="1">
      <alignment horizontal="left" vertical="center" wrapText="1"/>
    </xf>
    <xf numFmtId="166" fontId="7" fillId="0" borderId="12" xfId="2" applyNumberFormat="1" applyFont="1" applyBorder="1" applyAlignment="1">
      <alignment horizontal="left" vertical="center"/>
    </xf>
    <xf numFmtId="166" fontId="7" fillId="0" borderId="13" xfId="2" applyNumberFormat="1" applyFont="1" applyBorder="1" applyAlignment="1">
      <alignment horizontal="left" vertical="center"/>
    </xf>
    <xf numFmtId="167" fontId="8" fillId="0" borderId="11" xfId="2" applyNumberFormat="1" applyFont="1" applyBorder="1" applyAlignment="1">
      <alignment horizontal="right" vertical="center" indent="1"/>
    </xf>
    <xf numFmtId="164" fontId="8" fillId="0" borderId="4" xfId="2" applyFont="1" applyBorder="1" applyAlignment="1">
      <alignment horizontal="left" vertical="center" indent="1"/>
    </xf>
    <xf numFmtId="164" fontId="8" fillId="0" borderId="5" xfId="2" applyFont="1" applyBorder="1" applyAlignment="1">
      <alignment horizontal="left" vertical="center" indent="1"/>
    </xf>
    <xf numFmtId="168" fontId="8" fillId="0" borderId="14" xfId="2" applyNumberFormat="1" applyFont="1" applyBorder="1" applyAlignment="1">
      <alignment horizontal="right" vertical="center" indent="1"/>
    </xf>
    <xf numFmtId="164" fontId="8" fillId="2" borderId="4" xfId="2" applyFont="1" applyFill="1" applyBorder="1" applyAlignment="1">
      <alignment horizontal="left" vertical="center" indent="1"/>
    </xf>
    <xf numFmtId="164" fontId="8" fillId="2" borderId="5" xfId="2" applyFont="1" applyFill="1" applyBorder="1" applyAlignment="1">
      <alignment horizontal="left" vertical="center" indent="1"/>
    </xf>
    <xf numFmtId="168" fontId="8" fillId="2" borderId="14" xfId="2" applyNumberFormat="1" applyFont="1" applyFill="1" applyBorder="1" applyAlignment="1">
      <alignment horizontal="right" vertical="center" indent="1"/>
    </xf>
    <xf numFmtId="166" fontId="7" fillId="0" borderId="15" xfId="2" applyNumberFormat="1" applyFont="1" applyBorder="1" applyAlignment="1">
      <alignment horizontal="left" vertical="center"/>
    </xf>
    <xf numFmtId="166" fontId="7" fillId="0" borderId="16" xfId="2" applyNumberFormat="1" applyFont="1" applyBorder="1" applyAlignment="1">
      <alignment horizontal="left" vertical="center"/>
    </xf>
    <xf numFmtId="168" fontId="8" fillId="0" borderId="11" xfId="2" applyNumberFormat="1" applyFont="1" applyBorder="1" applyAlignment="1">
      <alignment horizontal="right" vertical="center" indent="1"/>
    </xf>
    <xf numFmtId="164" fontId="8" fillId="2" borderId="6" xfId="2" applyFont="1" applyFill="1" applyBorder="1" applyAlignment="1">
      <alignment horizontal="left" vertical="center" indent="1"/>
    </xf>
    <xf numFmtId="164" fontId="8" fillId="2" borderId="7" xfId="2" applyFont="1" applyFill="1" applyBorder="1" applyAlignment="1">
      <alignment horizontal="left" vertical="center" indent="1"/>
    </xf>
    <xf numFmtId="168" fontId="8" fillId="2" borderId="8" xfId="2" applyNumberFormat="1" applyFont="1" applyFill="1" applyBorder="1" applyAlignment="1">
      <alignment horizontal="right" vertical="center" indent="1"/>
    </xf>
  </cellXfs>
  <cellStyles count="4">
    <cellStyle name="Moneda" xfId="1" builtinId="4"/>
    <cellStyle name="Normal" xfId="0" builtinId="0"/>
    <cellStyle name="Normal 3 2 2" xfId="2" xr:uid="{AD073D7A-BA47-4FAA-9CBA-6E682854EBFB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vmx-my.sharepoint.com/personal/zs22004118_estudiantes_uv_mx/Documents/Estudio%20Financiero.xlsx" TargetMode="External"/><Relationship Id="rId1" Type="http://schemas.openxmlformats.org/officeDocument/2006/relationships/externalLinkPath" Target="https://uvmx-my.sharepoint.com/personal/zs22004118_estudiantes_uv_mx/Documents/Estudio%20Financi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oliticas"/>
      <sheetName val="Inversión Inicial"/>
      <sheetName val="Financiamiento"/>
      <sheetName val="Proyección de Ingresos"/>
      <sheetName val="Proyección CP"/>
      <sheetName val="Proyección GOP"/>
      <sheetName val="Gastos Financieros"/>
      <sheetName val="Determinación PV y PEQ"/>
      <sheetName val="Flujo de efectivo"/>
      <sheetName val="Estado de Resultados"/>
      <sheetName val="Balance General"/>
      <sheetName val="Valuación Economica"/>
    </sheetNames>
    <sheetDataSet>
      <sheetData sheetId="0">
        <row r="130">
          <cell r="J130">
            <v>6000</v>
          </cell>
        </row>
        <row r="132">
          <cell r="K132">
            <v>0.06</v>
          </cell>
        </row>
      </sheetData>
      <sheetData sheetId="1">
        <row r="77">
          <cell r="C77">
            <v>3860.8333333333326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F77B-5B7D-4AD2-9740-ACD99CD3AD29}">
  <dimension ref="A1:R43"/>
  <sheetViews>
    <sheetView tabSelected="1" zoomScale="77" workbookViewId="0">
      <selection activeCell="H20" sqref="H20"/>
    </sheetView>
  </sheetViews>
  <sheetFormatPr baseColWidth="10" defaultRowHeight="14.4" x14ac:dyDescent="0.3"/>
  <cols>
    <col min="2" max="2" width="16.109375" customWidth="1"/>
    <col min="3" max="3" width="11.5546875" style="1"/>
    <col min="4" max="4" width="12" bestFit="1" customWidth="1"/>
    <col min="5" max="5" width="16.5546875" bestFit="1" customWidth="1"/>
    <col min="15" max="16" width="12.44140625" bestFit="1" customWidth="1"/>
    <col min="17" max="17" width="14" bestFit="1" customWidth="1"/>
    <col min="18" max="18" width="15" bestFit="1" customWidth="1"/>
  </cols>
  <sheetData>
    <row r="1" spans="1:18" x14ac:dyDescent="0.3">
      <c r="A1" s="2" t="s">
        <v>0</v>
      </c>
      <c r="B1" s="2"/>
      <c r="C1" s="2"/>
      <c r="D1" s="2"/>
    </row>
    <row r="2" spans="1:18" x14ac:dyDescent="0.3">
      <c r="A2" s="2"/>
      <c r="B2" s="2"/>
      <c r="C2" s="2"/>
      <c r="D2" s="2"/>
    </row>
    <row r="3" spans="1:18" ht="15" thickBot="1" x14ac:dyDescent="0.35"/>
    <row r="4" spans="1:18" x14ac:dyDescent="0.3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5" t="s">
        <v>17</v>
      </c>
    </row>
    <row r="5" spans="1:18" ht="28.8" x14ac:dyDescent="0.3">
      <c r="B5" s="6" t="s">
        <v>18</v>
      </c>
      <c r="C5" s="7">
        <f>[1]Politicas!$J$130*2</f>
        <v>12000</v>
      </c>
      <c r="D5" s="7">
        <f>[1]Politicas!$J$130*2</f>
        <v>12000</v>
      </c>
      <c r="E5" s="7">
        <f>[1]Politicas!$J$130*2</f>
        <v>12000</v>
      </c>
      <c r="F5" s="7">
        <f>[1]Politicas!$J$130*2</f>
        <v>12000</v>
      </c>
      <c r="G5" s="7">
        <f>[1]Politicas!$J$130*2</f>
        <v>12000</v>
      </c>
      <c r="H5" s="7">
        <f>[1]Politicas!$J$130*2</f>
        <v>12000</v>
      </c>
      <c r="I5" s="7">
        <f>[1]Politicas!$J$130*2</f>
        <v>12000</v>
      </c>
      <c r="J5" s="7">
        <f>[1]Politicas!$J$130*2</f>
        <v>12000</v>
      </c>
      <c r="K5" s="7">
        <f>[1]Politicas!$J$130*2</f>
        <v>12000</v>
      </c>
      <c r="L5" s="7">
        <f>[1]Politicas!$J$130*2</f>
        <v>12000</v>
      </c>
      <c r="M5" s="7">
        <f>[1]Politicas!$J$130*2</f>
        <v>12000</v>
      </c>
      <c r="N5" s="7">
        <f>[1]Politicas!$J$130*2</f>
        <v>12000</v>
      </c>
      <c r="O5" s="8">
        <f>SUM(C5:N5)</f>
        <v>144000</v>
      </c>
      <c r="P5" s="8">
        <f>(O5*$F$15)+O5</f>
        <v>152640</v>
      </c>
      <c r="Q5" s="8">
        <f>(P5*$F$15)+P5</f>
        <v>161798.39999999999</v>
      </c>
      <c r="R5" s="8">
        <f>(Q5*$F$15)+Q5</f>
        <v>171506.304</v>
      </c>
    </row>
    <row r="6" spans="1:18" x14ac:dyDescent="0.3">
      <c r="B6" s="6" t="s">
        <v>19</v>
      </c>
      <c r="C6" s="7">
        <v>2000</v>
      </c>
      <c r="D6" s="7">
        <v>2000</v>
      </c>
      <c r="E6" s="7">
        <v>2000</v>
      </c>
      <c r="F6" s="7">
        <v>2000</v>
      </c>
      <c r="G6" s="7">
        <v>2000</v>
      </c>
      <c r="H6" s="7">
        <v>2000</v>
      </c>
      <c r="I6" s="7">
        <v>2000</v>
      </c>
      <c r="J6" s="7">
        <v>2000</v>
      </c>
      <c r="K6" s="7">
        <v>2000</v>
      </c>
      <c r="L6" s="7">
        <v>2000</v>
      </c>
      <c r="M6" s="7">
        <v>2000</v>
      </c>
      <c r="N6" s="7">
        <v>2000</v>
      </c>
      <c r="O6" s="8">
        <f>$N$6*12</f>
        <v>24000</v>
      </c>
      <c r="P6" s="8">
        <f>(O6*$C$15)+O6</f>
        <v>24855.965153331188</v>
      </c>
      <c r="Q6" s="8">
        <f>(P6*$C$15)+P6</f>
        <v>25742.458487650598</v>
      </c>
      <c r="R6" s="8">
        <f>(Q6*$C$15)+Q6</f>
        <v>26660.568797088246</v>
      </c>
    </row>
    <row r="7" spans="1:18" x14ac:dyDescent="0.3">
      <c r="B7" s="6" t="s">
        <v>20</v>
      </c>
      <c r="C7" s="7">
        <v>500</v>
      </c>
      <c r="D7" s="7">
        <v>500</v>
      </c>
      <c r="E7" s="7">
        <v>500</v>
      </c>
      <c r="F7" s="7">
        <v>500</v>
      </c>
      <c r="G7" s="7">
        <v>500</v>
      </c>
      <c r="H7" s="7">
        <v>500</v>
      </c>
      <c r="I7" s="7">
        <v>500</v>
      </c>
      <c r="J7" s="7">
        <v>500</v>
      </c>
      <c r="K7" s="7">
        <v>500</v>
      </c>
      <c r="L7" s="7">
        <v>500</v>
      </c>
      <c r="M7" s="7">
        <v>500</v>
      </c>
      <c r="N7" s="7">
        <v>500</v>
      </c>
      <c r="O7" s="8">
        <f>N7*12</f>
        <v>6000</v>
      </c>
      <c r="P7" s="8">
        <f>(O7*$C$15)+O7</f>
        <v>6213.991288332797</v>
      </c>
      <c r="Q7" s="8">
        <f>(P7*$C$15)+P7</f>
        <v>6435.6146219126495</v>
      </c>
      <c r="R7" s="8">
        <f>(Q7*$C$15)+Q7</f>
        <v>6665.1421992720616</v>
      </c>
    </row>
    <row r="8" spans="1:18" x14ac:dyDescent="0.3">
      <c r="B8" s="6" t="s">
        <v>21</v>
      </c>
      <c r="C8" s="7">
        <v>1200</v>
      </c>
      <c r="D8" s="7">
        <v>1200</v>
      </c>
      <c r="E8" s="7">
        <v>1200</v>
      </c>
      <c r="F8" s="7">
        <v>1200</v>
      </c>
      <c r="G8" s="7">
        <v>1200</v>
      </c>
      <c r="H8" s="7">
        <v>1200</v>
      </c>
      <c r="I8" s="7">
        <v>1200</v>
      </c>
      <c r="J8" s="7">
        <v>1200</v>
      </c>
      <c r="K8" s="7">
        <v>1200</v>
      </c>
      <c r="L8" s="7">
        <v>1200</v>
      </c>
      <c r="M8" s="7">
        <v>1200</v>
      </c>
      <c r="N8" s="7">
        <v>1200</v>
      </c>
      <c r="O8" s="8">
        <f>N8*12</f>
        <v>14400</v>
      </c>
      <c r="P8" s="8">
        <f>(O8*$C$15)+O8</f>
        <v>14913.579091998714</v>
      </c>
      <c r="Q8" s="8">
        <f>(P8*$C$15)+P8</f>
        <v>15445.475092590359</v>
      </c>
      <c r="R8" s="8">
        <f>(Q8*$C$15)+Q8</f>
        <v>15996.341278252949</v>
      </c>
    </row>
    <row r="9" spans="1:18" ht="28.8" x14ac:dyDescent="0.3">
      <c r="B9" s="6" t="s">
        <v>22</v>
      </c>
      <c r="C9" s="7">
        <v>1500</v>
      </c>
      <c r="D9" s="7">
        <v>1500</v>
      </c>
      <c r="E9" s="7">
        <v>1500</v>
      </c>
      <c r="F9" s="7">
        <v>1500</v>
      </c>
      <c r="G9" s="7">
        <v>1500</v>
      </c>
      <c r="H9" s="7">
        <v>1500</v>
      </c>
      <c r="I9" s="7">
        <v>1500</v>
      </c>
      <c r="J9" s="7">
        <v>1500</v>
      </c>
      <c r="K9" s="7">
        <v>1500</v>
      </c>
      <c r="L9" s="7">
        <v>1500</v>
      </c>
      <c r="M9" s="7">
        <v>1500</v>
      </c>
      <c r="N9" s="7">
        <v>1500</v>
      </c>
      <c r="O9" s="8">
        <f>N9*12</f>
        <v>18000</v>
      </c>
      <c r="P9" s="8">
        <f>(O9*$C$15)+O9</f>
        <v>18641.973864998392</v>
      </c>
      <c r="Q9" s="8">
        <f>(P9*$C$15)+P9</f>
        <v>19306.843865737948</v>
      </c>
      <c r="R9" s="8">
        <f>(Q9*$C$15)+Q9</f>
        <v>19995.426597816186</v>
      </c>
    </row>
    <row r="10" spans="1:18" x14ac:dyDescent="0.3">
      <c r="B10" s="6" t="s">
        <v>23</v>
      </c>
      <c r="C10" s="7">
        <v>1500</v>
      </c>
      <c r="D10" s="7">
        <v>1500</v>
      </c>
      <c r="E10" s="7">
        <v>1500</v>
      </c>
      <c r="F10" s="7">
        <v>1500</v>
      </c>
      <c r="G10" s="7">
        <v>1500</v>
      </c>
      <c r="H10" s="7">
        <v>1500</v>
      </c>
      <c r="I10" s="7">
        <v>1500</v>
      </c>
      <c r="J10" s="7">
        <v>1500</v>
      </c>
      <c r="K10" s="7">
        <v>1500</v>
      </c>
      <c r="L10" s="7">
        <v>1500</v>
      </c>
      <c r="M10" s="7">
        <v>1500</v>
      </c>
      <c r="N10" s="7">
        <v>1500</v>
      </c>
      <c r="O10" s="8">
        <f>N10*12</f>
        <v>18000</v>
      </c>
      <c r="P10" s="8">
        <f>(O10*$C$15)+O10</f>
        <v>18641.973864998392</v>
      </c>
      <c r="Q10" s="8">
        <f>(P10*$C$15)+P10</f>
        <v>19306.843865737948</v>
      </c>
      <c r="R10" s="8">
        <f>(Q10*$C$15)+Q10</f>
        <v>19995.426597816186</v>
      </c>
    </row>
    <row r="11" spans="1:18" x14ac:dyDescent="0.3">
      <c r="B11" s="6" t="s">
        <v>24</v>
      </c>
      <c r="C11" s="9">
        <f>'[1]Inversión Inicial'!$C$77</f>
        <v>3860.8333333333326</v>
      </c>
      <c r="D11" s="9">
        <f>'[1]Inversión Inicial'!$C$77</f>
        <v>3860.8333333333326</v>
      </c>
      <c r="E11" s="9">
        <f>'[1]Inversión Inicial'!$C$77</f>
        <v>3860.8333333333326</v>
      </c>
      <c r="F11" s="9">
        <f>'[1]Inversión Inicial'!$C$77</f>
        <v>3860.8333333333326</v>
      </c>
      <c r="G11" s="9">
        <f>'[1]Inversión Inicial'!$C$77</f>
        <v>3860.8333333333326</v>
      </c>
      <c r="H11" s="9">
        <f>'[1]Inversión Inicial'!$C$77</f>
        <v>3860.8333333333326</v>
      </c>
      <c r="I11" s="9">
        <f>'[1]Inversión Inicial'!$C$77</f>
        <v>3860.8333333333326</v>
      </c>
      <c r="J11" s="9">
        <f>'[1]Inversión Inicial'!$C$77</f>
        <v>3860.8333333333326</v>
      </c>
      <c r="K11" s="9">
        <f>'[1]Inversión Inicial'!$C$77</f>
        <v>3860.8333333333326</v>
      </c>
      <c r="L11" s="9">
        <f>'[1]Inversión Inicial'!$C$77</f>
        <v>3860.8333333333326</v>
      </c>
      <c r="M11" s="9">
        <f>'[1]Inversión Inicial'!$C$77</f>
        <v>3860.8333333333326</v>
      </c>
      <c r="N11" s="9">
        <f>'[1]Inversión Inicial'!$C$77</f>
        <v>3860.8333333333326</v>
      </c>
      <c r="O11" s="8">
        <f>N11*12</f>
        <v>46329.999999999993</v>
      </c>
      <c r="P11" s="8">
        <f>(O11*$C$15)+O11</f>
        <v>47982.369398076407</v>
      </c>
      <c r="Q11" s="8">
        <f>(P11*$C$15)+P11</f>
        <v>49693.670905535502</v>
      </c>
      <c r="R11" s="8">
        <f>(Q11*$C$15)+Q11</f>
        <v>51466.006348712435</v>
      </c>
    </row>
    <row r="12" spans="1:18" x14ac:dyDescent="0.3">
      <c r="B12" s="6" t="s">
        <v>25</v>
      </c>
      <c r="C12" s="7">
        <v>800</v>
      </c>
      <c r="D12" s="7">
        <v>800</v>
      </c>
      <c r="E12" s="7">
        <v>800</v>
      </c>
      <c r="F12" s="7">
        <v>800</v>
      </c>
      <c r="G12" s="7">
        <v>800</v>
      </c>
      <c r="H12" s="7">
        <v>800</v>
      </c>
      <c r="I12" s="7">
        <v>800</v>
      </c>
      <c r="J12" s="7">
        <v>800</v>
      </c>
      <c r="K12" s="7">
        <v>800</v>
      </c>
      <c r="L12" s="7">
        <v>800</v>
      </c>
      <c r="M12" s="7">
        <v>800</v>
      </c>
      <c r="N12" s="7">
        <v>800</v>
      </c>
      <c r="O12" s="8">
        <f>N12*12</f>
        <v>9600</v>
      </c>
      <c r="P12" s="8">
        <f>(O12*$C$15)+O12</f>
        <v>9942.3860613324759</v>
      </c>
      <c r="Q12" s="8">
        <f>(P12*$C$15)+P12</f>
        <v>10296.983395060239</v>
      </c>
      <c r="R12" s="8">
        <f>(Q12*$C$15)+Q12</f>
        <v>10664.2275188353</v>
      </c>
    </row>
    <row r="13" spans="1:18" ht="15" thickBot="1" x14ac:dyDescent="0.35">
      <c r="B13" s="10" t="s">
        <v>26</v>
      </c>
      <c r="C13" s="11">
        <f>SUM(C5:C12)</f>
        <v>23360.833333333332</v>
      </c>
      <c r="D13" s="11">
        <f>SUM(D5:D12)</f>
        <v>23360.833333333332</v>
      </c>
      <c r="E13" s="11">
        <f>SUM(E5:E12)</f>
        <v>23360.833333333332</v>
      </c>
      <c r="F13" s="11">
        <f>SUM(F5:F12)</f>
        <v>23360.833333333332</v>
      </c>
      <c r="G13" s="11">
        <f>SUM(G5:G12)</f>
        <v>23360.833333333332</v>
      </c>
      <c r="H13" s="11">
        <f>SUM(H5:H12)</f>
        <v>23360.833333333332</v>
      </c>
      <c r="I13" s="11">
        <f>SUM(I5:I12)</f>
        <v>23360.833333333332</v>
      </c>
      <c r="J13" s="11">
        <f>SUM(J5:J12)</f>
        <v>23360.833333333332</v>
      </c>
      <c r="K13" s="11">
        <f>SUM(K5:K12)</f>
        <v>23360.833333333332</v>
      </c>
      <c r="L13" s="11">
        <f>SUM(L5:L12)</f>
        <v>23360.833333333332</v>
      </c>
      <c r="M13" s="11">
        <f>SUM(M5:M12)</f>
        <v>23360.833333333332</v>
      </c>
      <c r="N13" s="11">
        <f>SUM(N5:N12)</f>
        <v>23360.833333333332</v>
      </c>
      <c r="O13" s="11">
        <f>SUM(O5:O12)</f>
        <v>280330</v>
      </c>
      <c r="P13" s="11">
        <f>SUM(P5:P12)</f>
        <v>293832.23872306832</v>
      </c>
      <c r="Q13" s="11">
        <f>SUM(Q5:Q12)</f>
        <v>308026.29023422522</v>
      </c>
      <c r="R13" s="12">
        <f>SUM(R5:R12)</f>
        <v>322949.44333779335</v>
      </c>
    </row>
    <row r="14" spans="1:18" ht="15" thickBot="1" x14ac:dyDescent="0.35"/>
    <row r="15" spans="1:18" ht="15" thickBot="1" x14ac:dyDescent="0.35">
      <c r="B15" s="13" t="s">
        <v>27</v>
      </c>
      <c r="C15" s="14">
        <f>(D43-D30)/D30</f>
        <v>3.5665214722132861E-2</v>
      </c>
      <c r="E15" s="13" t="s">
        <v>28</v>
      </c>
      <c r="F15" s="15">
        <f>[1]Politicas!K132</f>
        <v>0.06</v>
      </c>
    </row>
    <row r="16" spans="1:18" ht="15" thickBot="1" x14ac:dyDescent="0.35">
      <c r="C16" s="16"/>
    </row>
    <row r="17" spans="2:4" x14ac:dyDescent="0.3">
      <c r="B17" s="17" t="s">
        <v>29</v>
      </c>
      <c r="C17" s="18"/>
      <c r="D17" s="19" t="s">
        <v>30</v>
      </c>
    </row>
    <row r="18" spans="2:4" x14ac:dyDescent="0.3">
      <c r="B18" s="20"/>
      <c r="C18" s="21"/>
      <c r="D18" s="22"/>
    </row>
    <row r="19" spans="2:4" x14ac:dyDescent="0.3">
      <c r="B19" s="20"/>
      <c r="C19" s="21"/>
      <c r="D19" s="22"/>
    </row>
    <row r="20" spans="2:4" x14ac:dyDescent="0.3">
      <c r="B20" s="23">
        <v>2024</v>
      </c>
      <c r="C20" s="24"/>
      <c r="D20" s="25"/>
    </row>
    <row r="21" spans="2:4" x14ac:dyDescent="0.3">
      <c r="B21" s="26" t="s">
        <v>2</v>
      </c>
      <c r="C21" s="27"/>
      <c r="D21" s="28">
        <v>133.55500000000001</v>
      </c>
    </row>
    <row r="22" spans="2:4" x14ac:dyDescent="0.3">
      <c r="B22" s="26" t="s">
        <v>3</v>
      </c>
      <c r="C22" s="27"/>
      <c r="D22" s="28">
        <v>133.68100000000001</v>
      </c>
    </row>
    <row r="23" spans="2:4" x14ac:dyDescent="0.3">
      <c r="B23" s="26" t="s">
        <v>4</v>
      </c>
      <c r="C23" s="27"/>
      <c r="D23" s="28">
        <v>134.065</v>
      </c>
    </row>
    <row r="24" spans="2:4" x14ac:dyDescent="0.3">
      <c r="B24" s="26" t="s">
        <v>5</v>
      </c>
      <c r="C24" s="27"/>
      <c r="D24" s="28">
        <v>134.33600000000001</v>
      </c>
    </row>
    <row r="25" spans="2:4" x14ac:dyDescent="0.3">
      <c r="B25" s="26" t="s">
        <v>6</v>
      </c>
      <c r="C25" s="27"/>
      <c r="D25" s="28">
        <v>134.08699999999999</v>
      </c>
    </row>
    <row r="26" spans="2:4" x14ac:dyDescent="0.3">
      <c r="B26" s="26" t="s">
        <v>7</v>
      </c>
      <c r="C26" s="27"/>
      <c r="D26" s="28">
        <v>134.59399999999999</v>
      </c>
    </row>
    <row r="27" spans="2:4" x14ac:dyDescent="0.3">
      <c r="B27" s="26" t="s">
        <v>8</v>
      </c>
      <c r="C27" s="27"/>
      <c r="D27" s="28">
        <v>136.00299999999999</v>
      </c>
    </row>
    <row r="28" spans="2:4" x14ac:dyDescent="0.3">
      <c r="B28" s="26" t="s">
        <v>9</v>
      </c>
      <c r="C28" s="27"/>
      <c r="D28" s="28">
        <v>136.01300000000001</v>
      </c>
    </row>
    <row r="29" spans="2:4" x14ac:dyDescent="0.3">
      <c r="B29" s="26" t="s">
        <v>10</v>
      </c>
      <c r="C29" s="27"/>
      <c r="D29" s="28">
        <v>136.08000000000001</v>
      </c>
    </row>
    <row r="30" spans="2:4" x14ac:dyDescent="0.3">
      <c r="B30" s="29" t="s">
        <v>11</v>
      </c>
      <c r="C30" s="30"/>
      <c r="D30" s="31">
        <v>136.828</v>
      </c>
    </row>
    <row r="31" spans="2:4" x14ac:dyDescent="0.3">
      <c r="B31" s="26" t="s">
        <v>12</v>
      </c>
      <c r="C31" s="27"/>
      <c r="D31" s="28">
        <v>137.42400000000001</v>
      </c>
    </row>
    <row r="32" spans="2:4" x14ac:dyDescent="0.3">
      <c r="B32" s="26" t="s">
        <v>13</v>
      </c>
      <c r="C32" s="27"/>
      <c r="D32" s="28">
        <v>137.94900000000001</v>
      </c>
    </row>
    <row r="33" spans="2:4" x14ac:dyDescent="0.3">
      <c r="B33" s="32">
        <v>2025</v>
      </c>
      <c r="C33" s="33"/>
      <c r="D33" s="34"/>
    </row>
    <row r="34" spans="2:4" x14ac:dyDescent="0.3">
      <c r="B34" s="26" t="s">
        <v>2</v>
      </c>
      <c r="C34" s="27"/>
      <c r="D34" s="34">
        <v>138.34299999999999</v>
      </c>
    </row>
    <row r="35" spans="2:4" x14ac:dyDescent="0.3">
      <c r="B35" s="26" t="s">
        <v>3</v>
      </c>
      <c r="C35" s="27"/>
      <c r="D35" s="34">
        <v>138.726</v>
      </c>
    </row>
    <row r="36" spans="2:4" x14ac:dyDescent="0.3">
      <c r="B36" s="26" t="s">
        <v>4</v>
      </c>
      <c r="C36" s="27"/>
      <c r="D36" s="34">
        <v>139.161</v>
      </c>
    </row>
    <row r="37" spans="2:4" x14ac:dyDescent="0.3">
      <c r="B37" s="26" t="s">
        <v>5</v>
      </c>
      <c r="C37" s="27"/>
      <c r="D37" s="34">
        <v>139.62</v>
      </c>
    </row>
    <row r="38" spans="2:4" x14ac:dyDescent="0.3">
      <c r="B38" s="26" t="s">
        <v>6</v>
      </c>
      <c r="C38" s="27"/>
      <c r="D38" s="34">
        <v>140.012</v>
      </c>
    </row>
    <row r="39" spans="2:4" x14ac:dyDescent="0.3">
      <c r="B39" s="26" t="s">
        <v>7</v>
      </c>
      <c r="C39" s="27"/>
      <c r="D39" s="34">
        <v>140.405</v>
      </c>
    </row>
    <row r="40" spans="2:4" x14ac:dyDescent="0.3">
      <c r="B40" s="26" t="s">
        <v>8</v>
      </c>
      <c r="C40" s="27"/>
      <c r="D40" s="34">
        <v>140.78</v>
      </c>
    </row>
    <row r="41" spans="2:4" x14ac:dyDescent="0.3">
      <c r="B41" s="26" t="s">
        <v>9</v>
      </c>
      <c r="C41" s="27"/>
      <c r="D41" s="34">
        <v>140.86699999999999</v>
      </c>
    </row>
    <row r="42" spans="2:4" x14ac:dyDescent="0.3">
      <c r="B42" s="26" t="s">
        <v>10</v>
      </c>
      <c r="C42" s="27"/>
      <c r="D42" s="34">
        <v>141.197</v>
      </c>
    </row>
    <row r="43" spans="2:4" ht="15" thickBot="1" x14ac:dyDescent="0.35">
      <c r="B43" s="35" t="s">
        <v>11</v>
      </c>
      <c r="C43" s="36"/>
      <c r="D43" s="37">
        <v>141.708</v>
      </c>
    </row>
  </sheetData>
  <mergeCells count="5">
    <mergeCell ref="A1:D2"/>
    <mergeCell ref="B17:C19"/>
    <mergeCell ref="D17:D19"/>
    <mergeCell ref="B20:C20"/>
    <mergeCell ref="B33:C33"/>
  </mergeCells>
  <phoneticPr fontId="2" type="noConversion"/>
  <pageMargins left="0.7" right="0.7" top="0.75" bottom="0.75" header="0.3" footer="0.3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A4557DA7060A47A4F4DA61FDB7C848" ma:contentTypeVersion="15" ma:contentTypeDescription="Crear nuevo documento." ma:contentTypeScope="" ma:versionID="c11f07322bdf65a3341d148a58c6a934">
  <xsd:schema xmlns:xsd="http://www.w3.org/2001/XMLSchema" xmlns:xs="http://www.w3.org/2001/XMLSchema" xmlns:p="http://schemas.microsoft.com/office/2006/metadata/properties" xmlns:ns3="f8f1ca95-b07b-413c-ab75-614f58d08288" xmlns:ns4="0f262e42-4bfe-4dc3-9561-2525a4069dd1" targetNamespace="http://schemas.microsoft.com/office/2006/metadata/properties" ma:root="true" ma:fieldsID="5154f726e210a9ee0424fdc89be75dbd" ns3:_="" ns4:_="">
    <xsd:import namespace="f8f1ca95-b07b-413c-ab75-614f58d08288"/>
    <xsd:import namespace="0f262e42-4bfe-4dc3-9561-2525a4069d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f1ca95-b07b-413c-ab75-614f58d08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262e42-4bfe-4dc3-9561-2525a4069dd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8f1ca95-b07b-413c-ab75-614f58d08288" xsi:nil="true"/>
  </documentManagement>
</p:properties>
</file>

<file path=customXml/itemProps1.xml><?xml version="1.0" encoding="utf-8"?>
<ds:datastoreItem xmlns:ds="http://schemas.openxmlformats.org/officeDocument/2006/customXml" ds:itemID="{7728F868-2A05-4362-8AE8-AB47B98DE2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2C40E97-1B40-42E0-82C3-3B8E1CDD3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f1ca95-b07b-413c-ab75-614f58d08288"/>
    <ds:schemaRef ds:uri="0f262e42-4bfe-4dc3-9561-2525a4069d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AC24B2-1468-4AD7-A20A-29537CE815D5}">
  <ds:schemaRefs>
    <ds:schemaRef ds:uri="http://schemas.openxmlformats.org/package/2006/metadata/core-properties"/>
    <ds:schemaRef ds:uri="f8f1ca95-b07b-413c-ab75-614f58d08288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0f262e42-4bfe-4dc3-9561-2525a4069dd1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Terrazas Lopez Gicela</dc:creator>
  <cp:lastModifiedBy>Gicela Terrazas</cp:lastModifiedBy>
  <cp:lastPrinted>2025-12-13T06:52:26Z</cp:lastPrinted>
  <dcterms:created xsi:type="dcterms:W3CDTF">2025-12-13T06:15:12Z</dcterms:created>
  <dcterms:modified xsi:type="dcterms:W3CDTF">2025-12-13T06:55:02Z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0x0101008CA4557DA7060A47A4F4DA61FDB7C848</vt:lpwstr>
  </property>
</Properties>
</file>
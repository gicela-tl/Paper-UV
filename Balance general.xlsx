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0d39358f3815e/Desktop/Apuntes y Tareas/7° Semestre/Proyectos de inversión/"/>
    </mc:Choice>
  </mc:AlternateContent>
  <xr:revisionPtr revIDLastSave="0" documentId="8_{0B44A300-DEB7-4FD3-8347-AC2EBB7B22FC}" xr6:coauthVersionLast="47" xr6:coauthVersionMax="47" xr10:uidLastSave="{00000000-0000-0000-0000-000000000000}"/>
  <bookViews>
    <workbookView xWindow="-108" yWindow="-108" windowWidth="23256" windowHeight="12456" xr2:uid="{1BDEC017-86E1-445F-9CE6-324A05BD3F7E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F8" i="1"/>
  <c r="F9" i="1" s="1"/>
  <c r="E8" i="1"/>
  <c r="D26" i="1"/>
  <c r="E26" i="1"/>
  <c r="F26" i="1"/>
  <c r="F25" i="1"/>
  <c r="E25" i="1"/>
  <c r="D25" i="1"/>
  <c r="F14" i="1"/>
  <c r="E14" i="1"/>
  <c r="D14" i="1"/>
  <c r="D15" i="1" s="1"/>
  <c r="D16" i="1" s="1"/>
  <c r="E15" i="1"/>
  <c r="F15" i="1"/>
  <c r="D20" i="1"/>
  <c r="E20" i="1"/>
  <c r="F20" i="1"/>
  <c r="D28" i="1"/>
  <c r="E28" i="1"/>
  <c r="F28" i="1"/>
  <c r="C25" i="1"/>
  <c r="C26" i="1" s="1"/>
  <c r="C14" i="1"/>
  <c r="C15" i="1"/>
  <c r="B25" i="1"/>
  <c r="B14" i="1"/>
  <c r="B15" i="1"/>
  <c r="B16" i="1" s="1"/>
  <c r="C20" i="1"/>
  <c r="C9" i="1"/>
  <c r="D9" i="1"/>
  <c r="E9" i="1"/>
  <c r="E16" i="1" s="1"/>
  <c r="B20" i="1"/>
  <c r="F16" i="1" l="1"/>
  <c r="C28" i="1"/>
  <c r="C16" i="1"/>
  <c r="B9" i="1"/>
  <c r="B26" i="1" l="1"/>
  <c r="B28" i="1" s="1"/>
</calcChain>
</file>

<file path=xl/sharedStrings.xml><?xml version="1.0" encoding="utf-8"?>
<sst xmlns="http://schemas.openxmlformats.org/spreadsheetml/2006/main" count="37" uniqueCount="37">
  <si>
    <t>PAPER UV</t>
  </si>
  <si>
    <t>Balance general</t>
  </si>
  <si>
    <t>Proyección 5 años</t>
  </si>
  <si>
    <t>Activo</t>
  </si>
  <si>
    <t>Activo Circulante</t>
  </si>
  <si>
    <t>Efectivo</t>
  </si>
  <si>
    <t>Inventarios</t>
  </si>
  <si>
    <t>Total Activo circulante</t>
  </si>
  <si>
    <t>Activo No Circulante</t>
  </si>
  <si>
    <t>Construcción</t>
  </si>
  <si>
    <t>Activo Operativo</t>
  </si>
  <si>
    <t>Activo diferido</t>
  </si>
  <si>
    <t>Depreciación Acumulada</t>
  </si>
  <si>
    <t>Total Activo no circulante</t>
  </si>
  <si>
    <t>Total Activos</t>
  </si>
  <si>
    <t>Pasivo</t>
  </si>
  <si>
    <t>Total pasivo</t>
  </si>
  <si>
    <t>Capital contable</t>
  </si>
  <si>
    <t>Capital social</t>
  </si>
  <si>
    <t>Utilidad neta</t>
  </si>
  <si>
    <t>Credito bancario</t>
  </si>
  <si>
    <t>Año 1</t>
  </si>
  <si>
    <t>Año 2</t>
  </si>
  <si>
    <t>Año 3</t>
  </si>
  <si>
    <t>Año 4</t>
  </si>
  <si>
    <t>Año 5</t>
  </si>
  <si>
    <t>Total Capital</t>
  </si>
  <si>
    <t>Total Pasivo + capital</t>
  </si>
  <si>
    <t>No cuadra porque</t>
  </si>
  <si>
    <t>Es porque:</t>
  </si>
  <si>
    <t>El negocio inicia con muy poco efectivo ($3,000)</t>
  </si>
  <si>
    <t>El crédito se amortiza muy rápido (36 meses)</t>
  </si>
  <si>
    <t>La utilidad neta es muy baja</t>
  </si>
  <si>
    <t>Los gastos operativos son altos</t>
  </si>
  <si>
    <t>La depreciación reduce el valor del activo fijo</t>
  </si>
  <si>
    <t>El costo de ventas consume inventario sin reposición suficiente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</si>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</sst>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/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8" fontId="0" fillId="0" borderId="0" xfId="0" applyNumberFormat="1"/>
    <xf numFmtId="6" fontId="0" fillId="0" borderId="1" xfId="0" applyNumberFormat="1" applyBorder="1"/>
    <xf numFmtId="6" fontId="0" fillId="2" borderId="1" xfId="0" applyNumberFormat="1" applyFill="1" applyBorder="1"/>
    <xf numFmtId="44" fontId="0" fillId="0" borderId="1" xfId="0" applyNumberFormat="1" applyBorder="1"/>
    <xf numFmtId="44" fontId="0" fillId="2" borderId="1" xfId="0" applyNumberFormat="1" applyFill="1" applyBorder="1"/>
    <xf numFmtId="8" fontId="0" fillId="2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4" fontId="0" fillId="0" borderId="6" xfId="1" applyFont="1" applyBorder="1"/>
    <xf numFmtId="6" fontId="0" fillId="0" borderId="6" xfId="0" applyNumberFormat="1" applyBorder="1"/>
    <xf numFmtId="0" fontId="0" fillId="2" borderId="5" xfId="0" applyFill="1" applyBorder="1"/>
    <xf numFmtId="6" fontId="0" fillId="2" borderId="6" xfId="0" applyNumberFormat="1" applyFill="1" applyBorder="1"/>
    <xf numFmtId="44" fontId="0" fillId="0" borderId="6" xfId="0" applyNumberFormat="1" applyBorder="1"/>
    <xf numFmtId="44" fontId="0" fillId="2" borderId="6" xfId="0" applyNumberFormat="1" applyFill="1" applyBorder="1"/>
    <xf numFmtId="8" fontId="0" fillId="2" borderId="6" xfId="0" applyNumberFormat="1" applyFill="1" applyBorder="1"/>
    <xf numFmtId="0" fontId="2" fillId="3" borderId="0" xfId="0" applyFont="1" applyFill="1"/>
    <xf numFmtId="0" fontId="0" fillId="2" borderId="7" xfId="0" applyFill="1" applyBorder="1"/>
    <xf numFmtId="44" fontId="0" fillId="2" borderId="8" xfId="0" applyNumberFormat="1" applyFill="1" applyBorder="1"/>
    <xf numFmtId="44" fontId="0" fillId="2" borderId="9" xfId="0" applyNumberFormat="1" applyFill="1" applyBorder="1"/>
    <xf numFmtId="0" fontId="0" fillId="0" borderId="0" xfId="0" applyAlignment="1">
      <alignment vertical="top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vmx-my.sharepoint.com/personal/zs22004085_estudiantes_uv_mx/Documents/Estudio%20Financiero.xlsx" TargetMode="External"/><Relationship Id="rId1" Type="http://schemas.openxmlformats.org/officeDocument/2006/relationships/externalLinkPath" Target="https://uvmx-my.sharepoint.com/personal/zs22004085_estudiantes_uv_mx/Documents/Estudio%20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ticas"/>
      <sheetName val="Inversión Inicial"/>
      <sheetName val="Financiamiento"/>
      <sheetName val="Proyección de Ingresos"/>
      <sheetName val="Proyección CP"/>
      <sheetName val="Proyección GOP"/>
      <sheetName val="Gastos Financieros"/>
      <sheetName val="Determinación PV y PEQ"/>
      <sheetName val="Flujo de efectivo"/>
      <sheetName val="Estado de Resultados"/>
      <sheetName val="Balance General"/>
      <sheetName val="Valuación Economica"/>
    </sheetNames>
    <sheetDataSet>
      <sheetData sheetId="0" refreshError="1"/>
      <sheetData sheetId="1">
        <row r="77">
          <cell r="D77">
            <v>46330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24">
          <cell r="D24">
            <v>4615.7828571429009</v>
          </cell>
          <cell r="E24">
            <v>4685.0031428571328</v>
          </cell>
          <cell r="F24">
            <v>19172.311955142744</v>
          </cell>
          <cell r="G24">
            <v>24384.223108043174</v>
          </cell>
          <cell r="H24">
            <v>10357.462946620351</v>
          </cell>
        </row>
      </sheetData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DAD7-4D15-45A5-902D-C6A05557DA90}">
  <dimension ref="A1:I30"/>
  <sheetViews>
    <sheetView tabSelected="1" zoomScale="84" workbookViewId="0">
      <selection activeCell="K23" sqref="K23"/>
    </sheetView>
  </sheetViews>
  <sheetFormatPr baseColWidth="10" defaultRowHeight="14.4" x14ac:dyDescent="0.3"/>
  <cols>
    <col min="1" max="1" width="21.44140625" bestFit="1" customWidth="1"/>
    <col min="2" max="2" width="12.5546875" bestFit="1" customWidth="1"/>
    <col min="3" max="5" width="12.5546875" style="3" bestFit="1" customWidth="1"/>
    <col min="6" max="6" width="12.5546875" bestFit="1" customWidth="1"/>
    <col min="8" max="8" width="53.44140625" bestFit="1" customWidth="1"/>
    <col min="9" max="9" width="12.44140625" bestFit="1" customWidth="1"/>
  </cols>
  <sheetData>
    <row r="1" spans="1:8" x14ac:dyDescent="0.3">
      <c r="A1" s="1" t="s">
        <v>0</v>
      </c>
      <c r="B1" s="1"/>
      <c r="C1" s="1"/>
      <c r="D1" s="1"/>
      <c r="E1" s="1"/>
      <c r="F1" s="1"/>
    </row>
    <row r="2" spans="1:8" x14ac:dyDescent="0.3">
      <c r="A2" s="1" t="s">
        <v>1</v>
      </c>
      <c r="B2" s="1"/>
      <c r="C2" s="1"/>
      <c r="D2" s="1"/>
      <c r="E2" s="1"/>
      <c r="F2" s="1"/>
    </row>
    <row r="3" spans="1:8" x14ac:dyDescent="0.3">
      <c r="A3" s="1" t="s">
        <v>2</v>
      </c>
      <c r="B3" s="1"/>
      <c r="C3" s="1"/>
      <c r="D3" s="1"/>
      <c r="E3" s="1"/>
      <c r="F3" s="1"/>
    </row>
    <row r="4" spans="1:8" ht="15" thickBot="1" x14ac:dyDescent="0.35"/>
    <row r="5" spans="1:8" x14ac:dyDescent="0.3">
      <c r="A5" s="12" t="s">
        <v>3</v>
      </c>
      <c r="B5" s="13" t="s">
        <v>21</v>
      </c>
      <c r="C5" s="13" t="s">
        <v>22</v>
      </c>
      <c r="D5" s="13" t="s">
        <v>23</v>
      </c>
      <c r="E5" s="13" t="s">
        <v>24</v>
      </c>
      <c r="F5" s="14" t="s">
        <v>25</v>
      </c>
    </row>
    <row r="6" spans="1:8" x14ac:dyDescent="0.3">
      <c r="A6" s="15" t="s">
        <v>4</v>
      </c>
      <c r="B6" s="4"/>
      <c r="C6" s="5"/>
      <c r="D6" s="5"/>
      <c r="E6" s="5"/>
      <c r="F6" s="16"/>
      <c r="H6" s="24" t="s">
        <v>28</v>
      </c>
    </row>
    <row r="7" spans="1:8" x14ac:dyDescent="0.3">
      <c r="A7" s="15" t="s">
        <v>5</v>
      </c>
      <c r="B7" s="7">
        <v>-81628.22</v>
      </c>
      <c r="C7" s="5">
        <v>-175187.22</v>
      </c>
      <c r="D7" s="5">
        <v>-256226.91</v>
      </c>
      <c r="E7" s="5">
        <v>-231842.69</v>
      </c>
      <c r="F7" s="17">
        <v>-221485.23</v>
      </c>
      <c r="H7" s="24" t="s">
        <v>29</v>
      </c>
    </row>
    <row r="8" spans="1:8" x14ac:dyDescent="0.3">
      <c r="A8" s="15" t="s">
        <v>6</v>
      </c>
      <c r="B8" s="7">
        <v>15000</v>
      </c>
      <c r="C8" s="7">
        <v>15900</v>
      </c>
      <c r="D8" s="7">
        <v>16854</v>
      </c>
      <c r="E8" s="7">
        <f>D8+900</f>
        <v>17754</v>
      </c>
      <c r="F8" s="18">
        <f>E8+900</f>
        <v>18654</v>
      </c>
      <c r="H8" s="24" t="s">
        <v>30</v>
      </c>
    </row>
    <row r="9" spans="1:8" x14ac:dyDescent="0.3">
      <c r="A9" s="19" t="s">
        <v>7</v>
      </c>
      <c r="B9" s="8">
        <f>SUM(B7:B8)</f>
        <v>-66628.22</v>
      </c>
      <c r="C9" s="8">
        <f t="shared" ref="C9:F9" si="0">SUM(C7:C8)</f>
        <v>-159287.22</v>
      </c>
      <c r="D9" s="8">
        <f t="shared" si="0"/>
        <v>-239372.91</v>
      </c>
      <c r="E9" s="8">
        <f t="shared" si="0"/>
        <v>-214088.69</v>
      </c>
      <c r="F9" s="20">
        <f t="shared" si="0"/>
        <v>-202831.23</v>
      </c>
      <c r="H9" s="24" t="s">
        <v>31</v>
      </c>
    </row>
    <row r="10" spans="1:8" x14ac:dyDescent="0.3">
      <c r="A10" s="15" t="s">
        <v>8</v>
      </c>
      <c r="B10" s="4"/>
      <c r="C10" s="5"/>
      <c r="D10" s="5"/>
      <c r="E10" s="5"/>
      <c r="F10" s="16"/>
      <c r="H10" s="24" t="s">
        <v>32</v>
      </c>
    </row>
    <row r="11" spans="1:8" x14ac:dyDescent="0.3">
      <c r="A11" s="15" t="s">
        <v>9</v>
      </c>
      <c r="B11" s="9">
        <v>583000</v>
      </c>
      <c r="C11" s="9">
        <v>583000</v>
      </c>
      <c r="D11" s="9">
        <v>583000</v>
      </c>
      <c r="E11" s="9">
        <v>583000</v>
      </c>
      <c r="F11" s="21">
        <v>583000</v>
      </c>
      <c r="H11" s="24" t="s">
        <v>33</v>
      </c>
    </row>
    <row r="12" spans="1:8" x14ac:dyDescent="0.3">
      <c r="A12" s="15" t="s">
        <v>10</v>
      </c>
      <c r="B12" s="9">
        <v>69200</v>
      </c>
      <c r="C12" s="9">
        <v>69200</v>
      </c>
      <c r="D12" s="9">
        <v>69200</v>
      </c>
      <c r="E12" s="9">
        <v>69200</v>
      </c>
      <c r="F12" s="21">
        <v>69200</v>
      </c>
      <c r="G12" s="2"/>
      <c r="H12" s="24" t="s">
        <v>34</v>
      </c>
    </row>
    <row r="13" spans="1:8" x14ac:dyDescent="0.3">
      <c r="A13" s="15" t="s">
        <v>11</v>
      </c>
      <c r="B13" s="9">
        <v>17500</v>
      </c>
      <c r="C13" s="9">
        <v>17500</v>
      </c>
      <c r="D13" s="9">
        <v>17500</v>
      </c>
      <c r="E13" s="9">
        <v>17500</v>
      </c>
      <c r="F13" s="21">
        <v>17500</v>
      </c>
      <c r="G13" s="2"/>
      <c r="H13" s="24" t="s">
        <v>35</v>
      </c>
    </row>
    <row r="14" spans="1:8" x14ac:dyDescent="0.3">
      <c r="A14" s="15" t="s">
        <v>12</v>
      </c>
      <c r="B14" s="5">
        <f>-'[1]Inversión Inicial'!$D$77</f>
        <v>-46330</v>
      </c>
      <c r="C14" s="5">
        <f>B14+B14</f>
        <v>-92660</v>
      </c>
      <c r="D14" s="5">
        <f>B14+C14</f>
        <v>-138990</v>
      </c>
      <c r="E14" s="5">
        <f>D14+B14</f>
        <v>-185320</v>
      </c>
      <c r="F14" s="21">
        <f>E14+B14</f>
        <v>-231650</v>
      </c>
    </row>
    <row r="15" spans="1:8" x14ac:dyDescent="0.3">
      <c r="A15" s="19" t="s">
        <v>13</v>
      </c>
      <c r="B15" s="10">
        <f>SUM(B11:B14)</f>
        <v>623370</v>
      </c>
      <c r="C15" s="10">
        <f>SUM(C11:C14)</f>
        <v>577040</v>
      </c>
      <c r="D15" s="10">
        <f t="shared" ref="D15:F15" si="1">SUM(D11:D14)</f>
        <v>530710</v>
      </c>
      <c r="E15" s="10">
        <f t="shared" si="1"/>
        <v>484380</v>
      </c>
      <c r="F15" s="22">
        <f t="shared" si="1"/>
        <v>438050</v>
      </c>
    </row>
    <row r="16" spans="1:8" x14ac:dyDescent="0.3">
      <c r="A16" s="19" t="s">
        <v>14</v>
      </c>
      <c r="B16" s="11">
        <f>B9+B15</f>
        <v>556741.78</v>
      </c>
      <c r="C16" s="11">
        <f>C9+C15</f>
        <v>417752.78</v>
      </c>
      <c r="D16" s="11">
        <f t="shared" ref="D16:F16" si="2">D9+D15</f>
        <v>291337.08999999997</v>
      </c>
      <c r="E16" s="11">
        <f t="shared" si="2"/>
        <v>270291.31</v>
      </c>
      <c r="F16" s="23">
        <f t="shared" si="2"/>
        <v>235218.77</v>
      </c>
    </row>
    <row r="17" spans="1:9" x14ac:dyDescent="0.3">
      <c r="A17" s="15"/>
      <c r="B17" s="4"/>
      <c r="C17" s="5"/>
      <c r="D17" s="5"/>
      <c r="E17" s="5"/>
      <c r="F17" s="16"/>
    </row>
    <row r="18" spans="1:9" x14ac:dyDescent="0.3">
      <c r="A18" s="15" t="s">
        <v>15</v>
      </c>
      <c r="B18" s="4"/>
      <c r="C18" s="5"/>
      <c r="D18" s="5"/>
      <c r="E18" s="5"/>
      <c r="F18" s="16"/>
    </row>
    <row r="19" spans="1:9" x14ac:dyDescent="0.3">
      <c r="A19" s="15" t="s">
        <v>20</v>
      </c>
      <c r="B19" s="9">
        <v>198456</v>
      </c>
      <c r="C19" s="5">
        <v>89244</v>
      </c>
      <c r="D19" s="5"/>
      <c r="E19" s="5"/>
      <c r="F19" s="16"/>
      <c r="I19" s="2"/>
    </row>
    <row r="20" spans="1:9" x14ac:dyDescent="0.3">
      <c r="A20" s="19" t="s">
        <v>16</v>
      </c>
      <c r="B20" s="10">
        <f>B19</f>
        <v>198456</v>
      </c>
      <c r="C20" s="10">
        <f>C19</f>
        <v>89244</v>
      </c>
      <c r="D20" s="10">
        <f t="shared" ref="D20:F20" si="3">D19</f>
        <v>0</v>
      </c>
      <c r="E20" s="10">
        <f t="shared" si="3"/>
        <v>0</v>
      </c>
      <c r="F20" s="22">
        <f t="shared" si="3"/>
        <v>0</v>
      </c>
      <c r="I20" s="2" t="s">
        <v>36</v>
      </c>
    </row>
    <row r="21" spans="1:9" x14ac:dyDescent="0.3">
      <c r="A21" s="15"/>
      <c r="B21" s="4"/>
      <c r="C21" s="5"/>
      <c r="D21" s="5"/>
      <c r="E21" s="5"/>
      <c r="F21" s="16"/>
    </row>
    <row r="22" spans="1:9" x14ac:dyDescent="0.3">
      <c r="A22" s="15"/>
      <c r="B22" s="4"/>
      <c r="C22" s="5"/>
      <c r="D22" s="5"/>
      <c r="E22" s="5"/>
      <c r="F22" s="16"/>
    </row>
    <row r="23" spans="1:9" x14ac:dyDescent="0.3">
      <c r="A23" s="15" t="s">
        <v>17</v>
      </c>
      <c r="B23" s="4"/>
      <c r="C23" s="5"/>
      <c r="D23" s="5"/>
      <c r="E23" s="5"/>
      <c r="F23" s="16"/>
    </row>
    <row r="24" spans="1:9" x14ac:dyDescent="0.3">
      <c r="A24" s="15" t="s">
        <v>18</v>
      </c>
      <c r="B24" s="9">
        <v>400000</v>
      </c>
      <c r="C24" s="9">
        <v>400000</v>
      </c>
      <c r="D24" s="9">
        <v>400000</v>
      </c>
      <c r="E24" s="9">
        <v>400000</v>
      </c>
      <c r="F24" s="21">
        <v>400000</v>
      </c>
      <c r="H24" s="28"/>
    </row>
    <row r="25" spans="1:9" x14ac:dyDescent="0.3">
      <c r="A25" s="15" t="s">
        <v>19</v>
      </c>
      <c r="B25" s="9">
        <f>'[1]Estado de Resultados'!$D$24</f>
        <v>4615.7828571429009</v>
      </c>
      <c r="C25" s="5">
        <f>'[1]Estado de Resultados'!$E$24+'[1]Estado de Resultados'!$D$24</f>
        <v>9300.7860000000328</v>
      </c>
      <c r="D25" s="5">
        <f>'[1]Estado de Resultados'!$F$24+C25</f>
        <v>28473.097955142777</v>
      </c>
      <c r="E25" s="5">
        <f>D25+'[1]Estado de Resultados'!$G$24</f>
        <v>52857.321063185955</v>
      </c>
      <c r="F25" s="21">
        <f>E25+'[1]Estado de Resultados'!$H$24</f>
        <v>63214.784009806302</v>
      </c>
    </row>
    <row r="26" spans="1:9" x14ac:dyDescent="0.3">
      <c r="A26" s="19" t="s">
        <v>26</v>
      </c>
      <c r="B26" s="10">
        <f>B24+B25</f>
        <v>404615.78285714291</v>
      </c>
      <c r="C26" s="10">
        <f>C24+C25</f>
        <v>409300.78600000002</v>
      </c>
      <c r="D26" s="10">
        <f t="shared" ref="D26:F26" si="4">D24+D25</f>
        <v>428473.09795514279</v>
      </c>
      <c r="E26" s="10">
        <f t="shared" si="4"/>
        <v>452857.32106318593</v>
      </c>
      <c r="F26" s="22">
        <f t="shared" si="4"/>
        <v>463214.78400980629</v>
      </c>
    </row>
    <row r="27" spans="1:9" x14ac:dyDescent="0.3">
      <c r="A27" s="15"/>
      <c r="B27" s="4"/>
      <c r="C27" s="5"/>
      <c r="D27" s="5"/>
      <c r="E27" s="5"/>
      <c r="F27" s="16"/>
    </row>
    <row r="28" spans="1:9" ht="15" thickBot="1" x14ac:dyDescent="0.35">
      <c r="A28" s="25" t="s">
        <v>27</v>
      </c>
      <c r="B28" s="26">
        <f>B26+B20</f>
        <v>603071.78285714285</v>
      </c>
      <c r="C28" s="26">
        <f>C26+C20</f>
        <v>498544.78600000002</v>
      </c>
      <c r="D28" s="26">
        <f t="shared" ref="D28:F28" si="5">D26+D20</f>
        <v>428473.09795514279</v>
      </c>
      <c r="E28" s="26">
        <f t="shared" si="5"/>
        <v>452857.32106318593</v>
      </c>
      <c r="F28" s="27">
        <f t="shared" si="5"/>
        <v>463214.78400980629</v>
      </c>
      <c r="H28" s="2">
        <f>B28-B16</f>
        <v>46330.002857142827</v>
      </c>
    </row>
    <row r="30" spans="1:9" x14ac:dyDescent="0.3">
      <c r="B30" s="6"/>
    </row>
  </sheetData>
  <mergeCells count="3">
    <mergeCell ref="A1:F1"/>
    <mergeCell ref="A2:F2"/>
    <mergeCell ref="A3:F3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A4557DA7060A47A4F4DA61FDB7C848" ma:contentTypeVersion="15" ma:contentTypeDescription="Crear nuevo documento." ma:contentTypeScope="" ma:versionID="c11f07322bdf65a3341d148a58c6a934">
  <xsd:schema xmlns:xsd="http://www.w3.org/2001/XMLSchema" xmlns:xs="http://www.w3.org/2001/XMLSchema" xmlns:p="http://schemas.microsoft.com/office/2006/metadata/properties" xmlns:ns3="f8f1ca95-b07b-413c-ab75-614f58d08288" xmlns:ns4="0f262e42-4bfe-4dc3-9561-2525a4069dd1" targetNamespace="http://schemas.microsoft.com/office/2006/metadata/properties" ma:root="true" ma:fieldsID="5154f726e210a9ee0424fdc89be75dbd" ns3:_="" ns4:_="">
    <xsd:import namespace="f8f1ca95-b07b-413c-ab75-614f58d08288"/>
    <xsd:import namespace="0f262e42-4bfe-4dc3-9561-2525a4069d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1ca95-b07b-413c-ab75-614f58d08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62e42-4bfe-4dc3-9561-2525a4069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f1ca95-b07b-413c-ab75-614f58d08288" xsi:nil="true"/>
  </documentManagement>
</p:properties>
</file>

<file path=customXml/itemProps1.xml><?xml version="1.0" encoding="utf-8"?>
<ds:datastoreItem xmlns:ds="http://schemas.openxmlformats.org/officeDocument/2006/customXml" ds:itemID="{039F9EDE-6395-4684-813F-457827D054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f1ca95-b07b-413c-ab75-614f58d08288"/>
    <ds:schemaRef ds:uri="0f262e42-4bfe-4dc3-9561-2525a4069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45A666-C244-4F6D-8690-D6AB71499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79483F-C502-419D-803F-0336932AFE2F}">
  <ds:schemaRefs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f8f1ca95-b07b-413c-ab75-614f58d08288"/>
    <ds:schemaRef ds:uri="http://purl.org/dc/dcmitype/"/>
    <ds:schemaRef ds:uri="http://purl.org/dc/terms/"/>
    <ds:schemaRef ds:uri="0f262e42-4bfe-4dc3-9561-2525a4069dd1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Terrazas Lopez Gicela</dc:creator>
  <cp:lastModifiedBy>Terrazas Lopez Gicela</cp:lastModifiedBy>
  <dcterms:created xsi:type="dcterms:W3CDTF">2025-12-15T03:48:24Z</dcterms:created>
  <dcterms:modified xsi:type="dcterms:W3CDTF">2025-12-15T06:31:32Z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0x0101008CA4557DA7060A47A4F4DA61FDB7C848</vt:lpwstr>
  </property>
</Properties>
</file>